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mc:AlternateContent xmlns:mc="http://schemas.openxmlformats.org/markup-compatibility/2006">
    <mc:Choice Requires="x15">
      <x15ac:absPath xmlns:x15ac="http://schemas.microsoft.com/office/spreadsheetml/2010/11/ac" url="D:\Northeastern\Assignments\"/>
    </mc:Choice>
  </mc:AlternateContent>
  <xr:revisionPtr revIDLastSave="0" documentId="13_ncr:1_{5CD0EB40-3DCE-4C90-83C7-E95897F24BFD}" xr6:coauthVersionLast="47" xr6:coauthVersionMax="47" xr10:uidLastSave="{00000000-0000-0000-0000-000000000000}"/>
  <bookViews>
    <workbookView xWindow="-110" yWindow="-110" windowWidth="25820" windowHeight="13900" activeTab="3" xr2:uid="{00000000-000D-0000-FFFF-FFFF00000000}"/>
  </bookViews>
  <sheets>
    <sheet name="Question 1" sheetId="1" r:id="rId1"/>
    <sheet name="Question 2" sheetId="2" r:id="rId2"/>
    <sheet name="Question 4" sheetId="4" r:id="rId3"/>
    <sheet name="Question 5" sheetId="8"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I31" i="1" l="1"/>
  <c r="F17" i="4"/>
  <c r="E17" i="4"/>
  <c r="G17" i="4" s="1"/>
  <c r="J32" i="1"/>
  <c r="I32" i="1"/>
  <c r="J31" i="1"/>
  <c r="K31" i="1"/>
  <c r="L31" i="1"/>
  <c r="M31" i="1"/>
  <c r="K32" i="1"/>
  <c r="L32" i="1"/>
  <c r="M32" i="1"/>
  <c r="I33" i="1"/>
  <c r="J33" i="1"/>
  <c r="K33" i="1"/>
  <c r="L33" i="1"/>
  <c r="M33" i="1"/>
  <c r="I34" i="1"/>
  <c r="J34" i="1"/>
  <c r="K34" i="1"/>
  <c r="L34" i="1"/>
  <c r="M34" i="1"/>
  <c r="I35" i="1"/>
  <c r="J35" i="1"/>
  <c r="K35" i="1"/>
  <c r="L35" i="1"/>
  <c r="M35" i="1"/>
  <c r="W21" i="1"/>
  <c r="W22" i="1"/>
  <c r="W23" i="1"/>
  <c r="W24" i="1"/>
  <c r="W20" i="1"/>
  <c r="I36" i="1" l="1"/>
  <c r="J36" i="1"/>
  <c r="M36" i="1"/>
  <c r="L36" i="1"/>
  <c r="K36" i="1"/>
</calcChain>
</file>

<file path=xl/sharedStrings.xml><?xml version="1.0" encoding="utf-8"?>
<sst xmlns="http://schemas.openxmlformats.org/spreadsheetml/2006/main" count="631" uniqueCount="66">
  <si>
    <t>Projected Demand</t>
  </si>
  <si>
    <t>Production Rate (units/hour)</t>
  </si>
  <si>
    <t xml:space="preserve"> Part Setup time (hours)</t>
  </si>
  <si>
    <t>Yield</t>
  </si>
  <si>
    <t>Production hours</t>
  </si>
  <si>
    <t>Production Yield Rate (units/hour)</t>
  </si>
  <si>
    <t>Part 1</t>
  </si>
  <si>
    <t>Part 2</t>
  </si>
  <si>
    <t>Part 5</t>
  </si>
  <si>
    <t>Output for week 1</t>
  </si>
  <si>
    <t>Part1</t>
  </si>
  <si>
    <t>Part 3</t>
  </si>
  <si>
    <t>Total</t>
  </si>
  <si>
    <t>Part 4</t>
  </si>
  <si>
    <t xml:space="preserve">Week </t>
  </si>
  <si>
    <t xml:space="preserve">Part 1 </t>
  </si>
  <si>
    <t xml:space="preserve"> Part 5</t>
  </si>
  <si>
    <t xml:space="preserve">Machine 1 </t>
  </si>
  <si>
    <t>Machine 2</t>
  </si>
  <si>
    <t>Machine 3</t>
  </si>
  <si>
    <t>Machine 4</t>
  </si>
  <si>
    <t>Machine 5</t>
  </si>
  <si>
    <t>Machine 1</t>
  </si>
  <si>
    <t xml:space="preserve"> Part 1</t>
  </si>
  <si>
    <t>120-machine setup time</t>
  </si>
  <si>
    <t>120-mac setup + 48</t>
  </si>
  <si>
    <t>Machine1</t>
  </si>
  <si>
    <t>Machine2</t>
  </si>
  <si>
    <t>Machine3</t>
  </si>
  <si>
    <t>Machine4</t>
  </si>
  <si>
    <t>Machine5</t>
  </si>
  <si>
    <t>Actual week 1 demand</t>
  </si>
  <si>
    <t>Machine 4 needs to work 120+48 hours</t>
  </si>
  <si>
    <t>Overtime out of 48</t>
  </si>
  <si>
    <t>Machine 2 needs to work 120+43 hours</t>
  </si>
  <si>
    <t>Machine 5 needs to work 120+28 hours</t>
  </si>
  <si>
    <t>Machine 1 needs to work 120+35 hours</t>
  </si>
  <si>
    <t xml:space="preserve"> Machine 3 needs to work 120+21 hours </t>
  </si>
  <si>
    <t>WEEK 11</t>
  </si>
  <si>
    <t>WEEK 11: Infeasible</t>
  </si>
  <si>
    <t>WEEK 1 : Optimal</t>
  </si>
  <si>
    <t>WEEK 2 : Optimal</t>
  </si>
  <si>
    <t>WEEK 3 : Optimal</t>
  </si>
  <si>
    <t>WEEK 4 : Optimal</t>
  </si>
  <si>
    <t>WEEK 5 : Optimal</t>
  </si>
  <si>
    <t>WEEK 6 : Optimal</t>
  </si>
  <si>
    <t>WEEK 7 : Optimal</t>
  </si>
  <si>
    <t>WEEK 8 : Optimal</t>
  </si>
  <si>
    <t>WEEK 9 : Optimal</t>
  </si>
  <si>
    <t>WEEK 10 : Optimal</t>
  </si>
  <si>
    <t>WEEK 12 : Optimal</t>
  </si>
  <si>
    <t>Weeks</t>
  </si>
  <si>
    <t>Total Overtime</t>
  </si>
  <si>
    <t>Total Cost for Overtime Production</t>
  </si>
  <si>
    <t>Total Cost for Support Personnel</t>
  </si>
  <si>
    <t xml:space="preserve">WEEK 1 </t>
  </si>
  <si>
    <t xml:space="preserve">WEEK 2 </t>
  </si>
  <si>
    <t xml:space="preserve">WEEK 3 </t>
  </si>
  <si>
    <t xml:space="preserve">WEEK 4 </t>
  </si>
  <si>
    <t xml:space="preserve">WEEK 5 </t>
  </si>
  <si>
    <t xml:space="preserve">WEEK 6 </t>
  </si>
  <si>
    <t xml:space="preserve">WEEK 7 </t>
  </si>
  <si>
    <t xml:space="preserve">WEEK 8 </t>
  </si>
  <si>
    <t xml:space="preserve">WEEK 9 </t>
  </si>
  <si>
    <t xml:space="preserve">WEEK 10 </t>
  </si>
  <si>
    <t xml:space="preserve">WEEK 12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</si>
</sst>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ont>
    <font>
      <b/>
      <sz val="11"/>
      <color theme="1"/>
      <name val="Calibri"/>
      <family val="2"/>
      <scheme val="minor"/>
    </font>
    <font>
      <b/>
      <sz val="11"/>
      <color theme="1"/>
      <name val="Calibri"/>
      <family val="2"/>
    </font>
    <font>
      <b/>
      <sz val="11"/>
      <name val="Calibri"/>
      <family val="2"/>
    </font>
    <font>
      <sz val="8"/>
      <name val="Calibri"/>
      <family val="2"/>
      <scheme val="minor"/>
    </font>
  </fonts>
  <fills count="5">
    <fill>
      <patternFill patternType="none"/>
    </fill>
    <fill>
      <patternFill patternType="gray125"/>
    </fill>
    <fill>
      <patternFill patternType="solid">
        <fgColor rgb="FF00FF00"/>
        <bgColor indexed="64"/>
      </patternFill>
    </fill>
    <fill>
      <patternFill patternType="solid">
        <fgColor theme="9"/>
        <bgColor indexed="64"/>
      </patternFill>
    </fill>
    <fill>
      <patternFill patternType="solid">
        <fgColor rgb="FFFF0000"/>
        <bgColor indexed="64"/>
      </patternFill>
    </fill>
  </fills>
  <borders count="14">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CCCCCC"/>
      </top>
      <bottom style="medium">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4" fillId="0" borderId="4" xfId="0" applyFont="1" applyBorder="1" applyAlignment="1">
      <alignment horizontal="center"/>
    </xf>
    <xf numFmtId="0" fontId="0" fillId="0" borderId="0" xfId="0" applyAlignment="1">
      <alignment horizontal="center"/>
    </xf>
    <xf numFmtId="0" fontId="3" fillId="0" borderId="0" xfId="0" applyFont="1" applyAlignment="1">
      <alignment wrapText="1"/>
    </xf>
    <xf numFmtId="0" fontId="3" fillId="0" borderId="13" xfId="0" applyFont="1" applyBorder="1" applyAlignment="1">
      <alignment horizontal="center" wrapText="1"/>
    </xf>
    <xf numFmtId="0" fontId="3" fillId="0" borderId="12" xfId="0" applyFont="1" applyBorder="1" applyAlignment="1">
      <alignment horizontal="center" wrapText="1"/>
    </xf>
    <xf numFmtId="0" fontId="3" fillId="0" borderId="5" xfId="0" applyFont="1" applyBorder="1" applyAlignment="1">
      <alignment horizontal="center" wrapText="1"/>
    </xf>
    <xf numFmtId="0" fontId="5" fillId="2" borderId="12" xfId="0" applyFont="1" applyFill="1" applyBorder="1" applyAlignment="1">
      <alignment horizontal="center" wrapText="1"/>
    </xf>
    <xf numFmtId="0" fontId="5" fillId="2" borderId="5" xfId="0" applyFont="1" applyFill="1" applyBorder="1" applyAlignment="1">
      <alignment horizontal="center" wrapText="1"/>
    </xf>
    <xf numFmtId="0" fontId="3" fillId="0" borderId="0" xfId="0" applyFont="1"/>
    <xf numFmtId="0" fontId="5" fillId="0" borderId="13" xfId="0" applyFont="1" applyBorder="1" applyAlignment="1">
      <alignment horizontal="center" wrapText="1"/>
    </xf>
    <xf numFmtId="0" fontId="2" fillId="0" borderId="13" xfId="0" applyFont="1" applyBorder="1" applyAlignment="1">
      <alignment horizontal="center" wrapText="1"/>
    </xf>
    <xf numFmtId="0" fontId="5" fillId="0" borderId="0" xfId="0" applyFont="1"/>
    <xf numFmtId="0" fontId="5" fillId="0" borderId="0" xfId="0" applyFont="1" applyAlignment="1">
      <alignment horizontal="center"/>
    </xf>
    <xf numFmtId="0" fontId="1" fillId="0" borderId="0" xfId="0" applyFont="1"/>
    <xf numFmtId="0" fontId="5" fillId="3" borderId="0" xfId="0" applyFont="1" applyFill="1"/>
    <xf numFmtId="0" fontId="5" fillId="4" borderId="0" xfId="0" applyFont="1" applyFill="1"/>
    <xf numFmtId="0" fontId="6" fillId="0" borderId="1" xfId="0" applyFont="1" applyBorder="1" applyAlignment="1">
      <alignment horizontal="center"/>
    </xf>
    <xf numFmtId="0" fontId="7" fillId="0" borderId="2" xfId="0" applyFont="1" applyBorder="1"/>
    <xf numFmtId="0" fontId="7" fillId="0" borderId="3" xfId="0" applyFont="1" applyBorder="1"/>
    <xf numFmtId="0" fontId="5" fillId="0" borderId="13" xfId="0" applyFont="1" applyBorder="1" applyAlignment="1">
      <alignment horizontal="center" wrapText="1"/>
    </xf>
    <xf numFmtId="0" fontId="2" fillId="0" borderId="13" xfId="0" applyFont="1" applyBorder="1" applyAlignment="1">
      <alignment horizontal="center" wrapText="1"/>
    </xf>
    <xf numFmtId="0" fontId="3" fillId="0" borderId="13" xfId="0" applyFont="1" applyBorder="1" applyAlignment="1">
      <alignment horizontal="center" wrapText="1"/>
    </xf>
    <xf numFmtId="0" fontId="5" fillId="0" borderId="6" xfId="0" applyFont="1" applyBorder="1" applyAlignment="1">
      <alignment horizontal="center" wrapText="1"/>
    </xf>
    <xf numFmtId="0" fontId="5" fillId="0" borderId="7" xfId="0" applyFont="1" applyBorder="1" applyAlignment="1">
      <alignment horizontal="center" wrapText="1"/>
    </xf>
    <xf numFmtId="0" fontId="5" fillId="0" borderId="8" xfId="0" applyFont="1" applyBorder="1" applyAlignment="1">
      <alignment horizontal="center" wrapText="1"/>
    </xf>
    <xf numFmtId="0" fontId="5" fillId="0" borderId="9" xfId="0" applyFont="1" applyBorder="1" applyAlignment="1">
      <alignment horizontal="center" wrapText="1"/>
    </xf>
    <xf numFmtId="0" fontId="5" fillId="0" borderId="10" xfId="0" applyFont="1" applyBorder="1" applyAlignment="1">
      <alignment horizontal="center" wrapText="1"/>
    </xf>
    <xf numFmtId="0" fontId="5" fillId="0" borderId="11" xfId="0" applyFont="1" applyBorder="1" applyAlignment="1">
      <alignment horizontal="center" wrapText="1"/>
    </xf>
    <xf numFmtId="0" fontId="6" fillId="0" borderId="2" xfId="0" applyFont="1" applyBorder="1" applyAlignment="1">
      <alignment horizontal="center"/>
    </xf>
    <xf numFmtId="0" fontId="6" fillId="0" borderId="3"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8</xdr:col>
      <xdr:colOff>60960</xdr:colOff>
      <xdr:row>15</xdr:row>
      <xdr:rowOff>0</xdr:rowOff>
    </xdr:from>
    <xdr:to>
      <xdr:col>13</xdr:col>
      <xdr:colOff>457200</xdr:colOff>
      <xdr:row>16</xdr:row>
      <xdr:rowOff>487680</xdr:rowOff>
    </xdr:to>
    <xdr:sp macro="" textlink="">
      <xdr:nvSpPr>
        <xdr:cNvPr id="2" name="TextBox 1">
          <a:extLst>
            <a:ext uri="{FF2B5EF4-FFF2-40B4-BE49-F238E27FC236}">
              <a16:creationId xmlns:a16="http://schemas.microsoft.com/office/drawing/2014/main" id="{56C7EAA4-FC84-DA13-1020-5A17BDA48EC2}"/>
            </a:ext>
          </a:extLst>
        </xdr:cNvPr>
        <xdr:cNvSpPr txBox="1"/>
      </xdr:nvSpPr>
      <xdr:spPr>
        <a:xfrm>
          <a:off x="5059680" y="2628900"/>
          <a:ext cx="3474720" cy="6629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b="1"/>
            <a:t>First</a:t>
          </a:r>
          <a:r>
            <a:rPr lang="en-IN" sz="1100" b="1" baseline="0"/>
            <a:t>, with the given production hours and yield rate of part from that machine, we drew a production yield rate table.</a:t>
          </a:r>
          <a:endParaRPr lang="en-IN" sz="1100" b="1"/>
        </a:p>
      </xdr:txBody>
    </xdr:sp>
    <xdr:clientData/>
  </xdr:twoCellAnchor>
  <xdr:twoCellAnchor>
    <xdr:from>
      <xdr:col>0</xdr:col>
      <xdr:colOff>312420</xdr:colOff>
      <xdr:row>16</xdr:row>
      <xdr:rowOff>426720</xdr:rowOff>
    </xdr:from>
    <xdr:to>
      <xdr:col>5</xdr:col>
      <xdr:colOff>571500</xdr:colOff>
      <xdr:row>19</xdr:row>
      <xdr:rowOff>106680</xdr:rowOff>
    </xdr:to>
    <xdr:sp macro="" textlink="">
      <xdr:nvSpPr>
        <xdr:cNvPr id="3" name="TextBox 2">
          <a:extLst>
            <a:ext uri="{FF2B5EF4-FFF2-40B4-BE49-F238E27FC236}">
              <a16:creationId xmlns:a16="http://schemas.microsoft.com/office/drawing/2014/main" id="{D19A89DF-AFC8-79DF-F605-AB2497E35BD7}"/>
            </a:ext>
          </a:extLst>
        </xdr:cNvPr>
        <xdr:cNvSpPr txBox="1"/>
      </xdr:nvSpPr>
      <xdr:spPr>
        <a:xfrm>
          <a:off x="312420" y="3230880"/>
          <a:ext cx="3230880" cy="9677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b="1"/>
            <a:t>Our report consists</a:t>
          </a:r>
          <a:r>
            <a:rPr lang="en-IN" sz="1100" b="1" baseline="0"/>
            <a:t> of the given tables from the article provided and the solution for we formulated for the 1st question where have proposed a production schedule for meeting first week's demand for the 5 parts.</a:t>
          </a:r>
          <a:endParaRPr lang="en-IN" sz="1100" b="1"/>
        </a:p>
      </xdr:txBody>
    </xdr:sp>
    <xdr:clientData/>
  </xdr:twoCellAnchor>
  <xdr:twoCellAnchor>
    <xdr:from>
      <xdr:col>16</xdr:col>
      <xdr:colOff>7620</xdr:colOff>
      <xdr:row>13</xdr:row>
      <xdr:rowOff>0</xdr:rowOff>
    </xdr:from>
    <xdr:to>
      <xdr:col>26</xdr:col>
      <xdr:colOff>198120</xdr:colOff>
      <xdr:row>16</xdr:row>
      <xdr:rowOff>434340</xdr:rowOff>
    </xdr:to>
    <xdr:sp macro="" textlink="">
      <xdr:nvSpPr>
        <xdr:cNvPr id="4" name="TextBox 3">
          <a:extLst>
            <a:ext uri="{FF2B5EF4-FFF2-40B4-BE49-F238E27FC236}">
              <a16:creationId xmlns:a16="http://schemas.microsoft.com/office/drawing/2014/main" id="{10D0531D-E819-318D-DA48-749D447FAFB6}"/>
            </a:ext>
          </a:extLst>
        </xdr:cNvPr>
        <xdr:cNvSpPr txBox="1"/>
      </xdr:nvSpPr>
      <xdr:spPr>
        <a:xfrm>
          <a:off x="11574780" y="2278380"/>
          <a:ext cx="6758940" cy="9601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b="1"/>
            <a:t>Part</a:t>
          </a:r>
          <a:r>
            <a:rPr lang="en-IN" sz="1100" b="1" baseline="0"/>
            <a:t> 3 can only be produced by machine three, hence it has to work full time in order to meet the demands for week 1. Taking this as our starting point, we came up with the required production hours, by trial and error method, that produces the required demands. Here, we also have made sure none of the machines work for more than 168 hours in a week and taken into consideration the set up time required for each machine. All machines need to work overtime in order to meet the demand but the ovetime varies for each machine.</a:t>
          </a:r>
          <a:endParaRPr lang="en-IN" sz="1100" b="1"/>
        </a:p>
      </xdr:txBody>
    </xdr:sp>
    <xdr:clientData/>
  </xdr:twoCellAnchor>
  <xdr:twoCellAnchor>
    <xdr:from>
      <xdr:col>13</xdr:col>
      <xdr:colOff>363220</xdr:colOff>
      <xdr:row>27</xdr:row>
      <xdr:rowOff>167640</xdr:rowOff>
    </xdr:from>
    <xdr:to>
      <xdr:col>16</xdr:col>
      <xdr:colOff>208280</xdr:colOff>
      <xdr:row>38</xdr:row>
      <xdr:rowOff>15240</xdr:rowOff>
    </xdr:to>
    <xdr:sp macro="" textlink="">
      <xdr:nvSpPr>
        <xdr:cNvPr id="5" name="TextBox 4">
          <a:extLst>
            <a:ext uri="{FF2B5EF4-FFF2-40B4-BE49-F238E27FC236}">
              <a16:creationId xmlns:a16="http://schemas.microsoft.com/office/drawing/2014/main" id="{7B257BBE-BD8F-339B-D2E5-BBDF5D3A2205}"/>
            </a:ext>
          </a:extLst>
        </xdr:cNvPr>
        <xdr:cNvSpPr txBox="1"/>
      </xdr:nvSpPr>
      <xdr:spPr>
        <a:xfrm>
          <a:off x="8561070" y="5717540"/>
          <a:ext cx="3394710" cy="1816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b="1"/>
            <a:t>Output was</a:t>
          </a:r>
          <a:r>
            <a:rPr lang="en-IN" sz="1100" b="1" baseline="0"/>
            <a:t> obtained by simply multiplying the number of hours each machine worked to produce each part with their respective yield rates and the same parts produced by different machines were summed to find the total output for the week. We have obtained the most optimal solution through trial and error however we believe that this method is not feasible and thus we need to apply other optimization techniques in order obtain the most optimal solution.</a:t>
          </a:r>
          <a:endParaRPr lang="en-IN" sz="1100" b="1"/>
        </a:p>
      </xdr:txBody>
    </xdr:sp>
    <xdr:clientData/>
  </xdr:twoCellAnchor>
  <xdr:twoCellAnchor>
    <xdr:from>
      <xdr:col>0</xdr:col>
      <xdr:colOff>297180</xdr:colOff>
      <xdr:row>20</xdr:row>
      <xdr:rowOff>0</xdr:rowOff>
    </xdr:from>
    <xdr:to>
      <xdr:col>4</xdr:col>
      <xdr:colOff>279400</xdr:colOff>
      <xdr:row>25</xdr:row>
      <xdr:rowOff>114300</xdr:rowOff>
    </xdr:to>
    <xdr:sp macro="" textlink="">
      <xdr:nvSpPr>
        <xdr:cNvPr id="6" name="TextBox 5">
          <a:extLst>
            <a:ext uri="{FF2B5EF4-FFF2-40B4-BE49-F238E27FC236}">
              <a16:creationId xmlns:a16="http://schemas.microsoft.com/office/drawing/2014/main" id="{9984C637-FA8B-20F0-FE10-EE8C9E12ADC9}"/>
            </a:ext>
          </a:extLst>
        </xdr:cNvPr>
        <xdr:cNvSpPr txBox="1"/>
      </xdr:nvSpPr>
      <xdr:spPr>
        <a:xfrm>
          <a:off x="297180" y="4305300"/>
          <a:ext cx="2395220" cy="1003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OR Group 11:-</a:t>
          </a:r>
        </a:p>
        <a:p>
          <a:r>
            <a:rPr lang="en-IN" sz="1100"/>
            <a:t>Sai</a:t>
          </a:r>
          <a:r>
            <a:rPr lang="en-IN" sz="1100" baseline="0"/>
            <a:t>teja Velcheti Srinivas</a:t>
          </a:r>
        </a:p>
        <a:p>
          <a:r>
            <a:rPr lang="en-IN" sz="1100" baseline="0"/>
            <a:t>Sudeep Parida </a:t>
          </a:r>
        </a:p>
        <a:p>
          <a:r>
            <a:rPr lang="en-IN" sz="1100" baseline="0"/>
            <a:t>Vraj Diyora</a:t>
          </a:r>
        </a:p>
        <a:p>
          <a:r>
            <a:rPr lang="en-IN" sz="1100" baseline="0"/>
            <a:t>Rushikesh Kulkarni</a:t>
          </a:r>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175260</xdr:rowOff>
    </xdr:from>
    <xdr:to>
      <xdr:col>4</xdr:col>
      <xdr:colOff>0</xdr:colOff>
      <xdr:row>4</xdr:row>
      <xdr:rowOff>167640</xdr:rowOff>
    </xdr:to>
    <xdr:sp macro="" textlink="">
      <xdr:nvSpPr>
        <xdr:cNvPr id="2" name="TextBox 1">
          <a:extLst>
            <a:ext uri="{FF2B5EF4-FFF2-40B4-BE49-F238E27FC236}">
              <a16:creationId xmlns:a16="http://schemas.microsoft.com/office/drawing/2014/main" id="{02EACBF9-4369-1117-A0FB-625051493E34}"/>
            </a:ext>
          </a:extLst>
        </xdr:cNvPr>
        <xdr:cNvSpPr txBox="1"/>
      </xdr:nvSpPr>
      <xdr:spPr>
        <a:xfrm>
          <a:off x="609600" y="358140"/>
          <a:ext cx="1882140" cy="541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Parts</a:t>
          </a:r>
          <a:r>
            <a:rPr lang="en-IN" sz="1100" baseline="0"/>
            <a:t> produced by each machine</a:t>
          </a:r>
          <a:endParaRPr lang="en-IN" sz="1100"/>
        </a:p>
      </xdr:txBody>
    </xdr:sp>
    <xdr:clientData/>
  </xdr:twoCellAnchor>
  <xdr:twoCellAnchor>
    <xdr:from>
      <xdr:col>10</xdr:col>
      <xdr:colOff>0</xdr:colOff>
      <xdr:row>2</xdr:row>
      <xdr:rowOff>0</xdr:rowOff>
    </xdr:from>
    <xdr:to>
      <xdr:col>13</xdr:col>
      <xdr:colOff>53340</xdr:colOff>
      <xdr:row>5</xdr:row>
      <xdr:rowOff>15240</xdr:rowOff>
    </xdr:to>
    <xdr:sp macro="" textlink="">
      <xdr:nvSpPr>
        <xdr:cNvPr id="5" name="TextBox 4">
          <a:extLst>
            <a:ext uri="{FF2B5EF4-FFF2-40B4-BE49-F238E27FC236}">
              <a16:creationId xmlns:a16="http://schemas.microsoft.com/office/drawing/2014/main" id="{1AD82521-C6BD-438A-99A9-5E095B1E9924}"/>
            </a:ext>
          </a:extLst>
        </xdr:cNvPr>
        <xdr:cNvSpPr txBox="1"/>
      </xdr:nvSpPr>
      <xdr:spPr>
        <a:xfrm>
          <a:off x="6149340" y="365760"/>
          <a:ext cx="1882140" cy="563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Production time in overtime hours</a:t>
          </a:r>
        </a:p>
      </xdr:txBody>
    </xdr:sp>
    <xdr:clientData/>
  </xdr:twoCellAnchor>
  <xdr:twoCellAnchor>
    <xdr:from>
      <xdr:col>1</xdr:col>
      <xdr:colOff>0</xdr:colOff>
      <xdr:row>16</xdr:row>
      <xdr:rowOff>175260</xdr:rowOff>
    </xdr:from>
    <xdr:to>
      <xdr:col>4</xdr:col>
      <xdr:colOff>0</xdr:colOff>
      <xdr:row>19</xdr:row>
      <xdr:rowOff>167640</xdr:rowOff>
    </xdr:to>
    <xdr:sp macro="" textlink="">
      <xdr:nvSpPr>
        <xdr:cNvPr id="6" name="TextBox 5">
          <a:extLst>
            <a:ext uri="{FF2B5EF4-FFF2-40B4-BE49-F238E27FC236}">
              <a16:creationId xmlns:a16="http://schemas.microsoft.com/office/drawing/2014/main" id="{81419AB5-C16A-458C-904F-A135A633F532}"/>
            </a:ext>
          </a:extLst>
        </xdr:cNvPr>
        <xdr:cNvSpPr txBox="1"/>
      </xdr:nvSpPr>
      <xdr:spPr>
        <a:xfrm>
          <a:off x="609600" y="358140"/>
          <a:ext cx="1882140" cy="541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Parts</a:t>
          </a:r>
          <a:r>
            <a:rPr lang="en-IN" sz="1100" baseline="0"/>
            <a:t> produced by each machine</a:t>
          </a:r>
          <a:endParaRPr lang="en-IN" sz="1100"/>
        </a:p>
      </xdr:txBody>
    </xdr:sp>
    <xdr:clientData/>
  </xdr:twoCellAnchor>
  <xdr:twoCellAnchor>
    <xdr:from>
      <xdr:col>10</xdr:col>
      <xdr:colOff>0</xdr:colOff>
      <xdr:row>17</xdr:row>
      <xdr:rowOff>0</xdr:rowOff>
    </xdr:from>
    <xdr:to>
      <xdr:col>13</xdr:col>
      <xdr:colOff>53340</xdr:colOff>
      <xdr:row>20</xdr:row>
      <xdr:rowOff>15240</xdr:rowOff>
    </xdr:to>
    <xdr:sp macro="" textlink="">
      <xdr:nvSpPr>
        <xdr:cNvPr id="7" name="TextBox 6">
          <a:extLst>
            <a:ext uri="{FF2B5EF4-FFF2-40B4-BE49-F238E27FC236}">
              <a16:creationId xmlns:a16="http://schemas.microsoft.com/office/drawing/2014/main" id="{8B5429B8-9048-471C-AB78-720ACB93A5F8}"/>
            </a:ext>
          </a:extLst>
        </xdr:cNvPr>
        <xdr:cNvSpPr txBox="1"/>
      </xdr:nvSpPr>
      <xdr:spPr>
        <a:xfrm>
          <a:off x="6149340" y="365760"/>
          <a:ext cx="1882140" cy="563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Production time in overtime hours</a:t>
          </a:r>
        </a:p>
      </xdr:txBody>
    </xdr:sp>
    <xdr:clientData/>
  </xdr:twoCellAnchor>
  <xdr:twoCellAnchor>
    <xdr:from>
      <xdr:col>1</xdr:col>
      <xdr:colOff>0</xdr:colOff>
      <xdr:row>33</xdr:row>
      <xdr:rowOff>175260</xdr:rowOff>
    </xdr:from>
    <xdr:to>
      <xdr:col>4</xdr:col>
      <xdr:colOff>0</xdr:colOff>
      <xdr:row>36</xdr:row>
      <xdr:rowOff>167640</xdr:rowOff>
    </xdr:to>
    <xdr:sp macro="" textlink="">
      <xdr:nvSpPr>
        <xdr:cNvPr id="8" name="TextBox 7">
          <a:extLst>
            <a:ext uri="{FF2B5EF4-FFF2-40B4-BE49-F238E27FC236}">
              <a16:creationId xmlns:a16="http://schemas.microsoft.com/office/drawing/2014/main" id="{D1F1132F-5A79-4888-9226-D3E444631545}"/>
            </a:ext>
          </a:extLst>
        </xdr:cNvPr>
        <xdr:cNvSpPr txBox="1"/>
      </xdr:nvSpPr>
      <xdr:spPr>
        <a:xfrm>
          <a:off x="609600" y="358140"/>
          <a:ext cx="1882140" cy="541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dk1"/>
              </a:solidFill>
              <a:effectLst/>
              <a:latin typeface="+mn-lt"/>
              <a:ea typeface="+mn-ea"/>
              <a:cs typeface="+mn-cs"/>
            </a:rPr>
            <a:t>Parts</a:t>
          </a:r>
          <a:r>
            <a:rPr lang="en-IN" sz="1100" baseline="0">
              <a:solidFill>
                <a:schemeClr val="dk1"/>
              </a:solidFill>
              <a:effectLst/>
              <a:latin typeface="+mn-lt"/>
              <a:ea typeface="+mn-ea"/>
              <a:cs typeface="+mn-cs"/>
            </a:rPr>
            <a:t> produced by each machine</a:t>
          </a:r>
          <a:endParaRPr lang="en-IN">
            <a:effectLst/>
          </a:endParaRPr>
        </a:p>
      </xdr:txBody>
    </xdr:sp>
    <xdr:clientData/>
  </xdr:twoCellAnchor>
  <xdr:twoCellAnchor>
    <xdr:from>
      <xdr:col>10</xdr:col>
      <xdr:colOff>0</xdr:colOff>
      <xdr:row>34</xdr:row>
      <xdr:rowOff>0</xdr:rowOff>
    </xdr:from>
    <xdr:to>
      <xdr:col>13</xdr:col>
      <xdr:colOff>53340</xdr:colOff>
      <xdr:row>37</xdr:row>
      <xdr:rowOff>15240</xdr:rowOff>
    </xdr:to>
    <xdr:sp macro="" textlink="">
      <xdr:nvSpPr>
        <xdr:cNvPr id="9" name="TextBox 8">
          <a:extLst>
            <a:ext uri="{FF2B5EF4-FFF2-40B4-BE49-F238E27FC236}">
              <a16:creationId xmlns:a16="http://schemas.microsoft.com/office/drawing/2014/main" id="{BC8E4D35-C0CA-4AB5-A705-77434472139A}"/>
            </a:ext>
          </a:extLst>
        </xdr:cNvPr>
        <xdr:cNvSpPr txBox="1"/>
      </xdr:nvSpPr>
      <xdr:spPr>
        <a:xfrm>
          <a:off x="6149340" y="365760"/>
          <a:ext cx="1882140" cy="563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Production time in overtime hours</a:t>
          </a:r>
        </a:p>
      </xdr:txBody>
    </xdr:sp>
    <xdr:clientData/>
  </xdr:twoCellAnchor>
  <xdr:twoCellAnchor>
    <xdr:from>
      <xdr:col>1</xdr:col>
      <xdr:colOff>0</xdr:colOff>
      <xdr:row>51</xdr:row>
      <xdr:rowOff>175260</xdr:rowOff>
    </xdr:from>
    <xdr:to>
      <xdr:col>4</xdr:col>
      <xdr:colOff>0</xdr:colOff>
      <xdr:row>54</xdr:row>
      <xdr:rowOff>167640</xdr:rowOff>
    </xdr:to>
    <xdr:sp macro="" textlink="">
      <xdr:nvSpPr>
        <xdr:cNvPr id="10" name="TextBox 9">
          <a:extLst>
            <a:ext uri="{FF2B5EF4-FFF2-40B4-BE49-F238E27FC236}">
              <a16:creationId xmlns:a16="http://schemas.microsoft.com/office/drawing/2014/main" id="{5D85742F-CDF0-4629-BAE1-F13E01443B69}"/>
            </a:ext>
          </a:extLst>
        </xdr:cNvPr>
        <xdr:cNvSpPr txBox="1"/>
      </xdr:nvSpPr>
      <xdr:spPr>
        <a:xfrm>
          <a:off x="609600" y="358140"/>
          <a:ext cx="1882140" cy="541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dk1"/>
              </a:solidFill>
              <a:effectLst/>
              <a:latin typeface="+mn-lt"/>
              <a:ea typeface="+mn-ea"/>
              <a:cs typeface="+mn-cs"/>
            </a:rPr>
            <a:t>Parts</a:t>
          </a:r>
          <a:r>
            <a:rPr lang="en-IN" sz="1100" baseline="0">
              <a:solidFill>
                <a:schemeClr val="dk1"/>
              </a:solidFill>
              <a:effectLst/>
              <a:latin typeface="+mn-lt"/>
              <a:ea typeface="+mn-ea"/>
              <a:cs typeface="+mn-cs"/>
            </a:rPr>
            <a:t> produced by each machine</a:t>
          </a:r>
          <a:endParaRPr lang="en-IN">
            <a:effectLst/>
          </a:endParaRPr>
        </a:p>
      </xdr:txBody>
    </xdr:sp>
    <xdr:clientData/>
  </xdr:twoCellAnchor>
  <xdr:twoCellAnchor>
    <xdr:from>
      <xdr:col>10</xdr:col>
      <xdr:colOff>0</xdr:colOff>
      <xdr:row>52</xdr:row>
      <xdr:rowOff>0</xdr:rowOff>
    </xdr:from>
    <xdr:to>
      <xdr:col>13</xdr:col>
      <xdr:colOff>53340</xdr:colOff>
      <xdr:row>55</xdr:row>
      <xdr:rowOff>15240</xdr:rowOff>
    </xdr:to>
    <xdr:sp macro="" textlink="">
      <xdr:nvSpPr>
        <xdr:cNvPr id="11" name="TextBox 10">
          <a:extLst>
            <a:ext uri="{FF2B5EF4-FFF2-40B4-BE49-F238E27FC236}">
              <a16:creationId xmlns:a16="http://schemas.microsoft.com/office/drawing/2014/main" id="{A944433C-25BD-42D4-B9C8-A7969F76B12B}"/>
            </a:ext>
          </a:extLst>
        </xdr:cNvPr>
        <xdr:cNvSpPr txBox="1"/>
      </xdr:nvSpPr>
      <xdr:spPr>
        <a:xfrm>
          <a:off x="6149340" y="365760"/>
          <a:ext cx="1882140" cy="563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Production time in overtime hours</a:t>
          </a:r>
        </a:p>
      </xdr:txBody>
    </xdr:sp>
    <xdr:clientData/>
  </xdr:twoCellAnchor>
  <xdr:twoCellAnchor>
    <xdr:from>
      <xdr:col>1</xdr:col>
      <xdr:colOff>0</xdr:colOff>
      <xdr:row>67</xdr:row>
      <xdr:rowOff>175260</xdr:rowOff>
    </xdr:from>
    <xdr:to>
      <xdr:col>4</xdr:col>
      <xdr:colOff>0</xdr:colOff>
      <xdr:row>70</xdr:row>
      <xdr:rowOff>167640</xdr:rowOff>
    </xdr:to>
    <xdr:sp macro="" textlink="">
      <xdr:nvSpPr>
        <xdr:cNvPr id="12" name="TextBox 11">
          <a:extLst>
            <a:ext uri="{FF2B5EF4-FFF2-40B4-BE49-F238E27FC236}">
              <a16:creationId xmlns:a16="http://schemas.microsoft.com/office/drawing/2014/main" id="{86B5952B-370D-4408-9AB0-AAA68459C57F}"/>
            </a:ext>
          </a:extLst>
        </xdr:cNvPr>
        <xdr:cNvSpPr txBox="1"/>
      </xdr:nvSpPr>
      <xdr:spPr>
        <a:xfrm>
          <a:off x="609600" y="358140"/>
          <a:ext cx="1882140" cy="541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dk1"/>
              </a:solidFill>
              <a:effectLst/>
              <a:latin typeface="+mn-lt"/>
              <a:ea typeface="+mn-ea"/>
              <a:cs typeface="+mn-cs"/>
            </a:rPr>
            <a:t>Parts</a:t>
          </a:r>
          <a:r>
            <a:rPr lang="en-IN" sz="1100" baseline="0">
              <a:solidFill>
                <a:schemeClr val="dk1"/>
              </a:solidFill>
              <a:effectLst/>
              <a:latin typeface="+mn-lt"/>
              <a:ea typeface="+mn-ea"/>
              <a:cs typeface="+mn-cs"/>
            </a:rPr>
            <a:t> produced by each machine</a:t>
          </a:r>
          <a:endParaRPr lang="en-IN">
            <a:effectLst/>
          </a:endParaRPr>
        </a:p>
      </xdr:txBody>
    </xdr:sp>
    <xdr:clientData/>
  </xdr:twoCellAnchor>
  <xdr:twoCellAnchor>
    <xdr:from>
      <xdr:col>10</xdr:col>
      <xdr:colOff>0</xdr:colOff>
      <xdr:row>68</xdr:row>
      <xdr:rowOff>0</xdr:rowOff>
    </xdr:from>
    <xdr:to>
      <xdr:col>13</xdr:col>
      <xdr:colOff>53340</xdr:colOff>
      <xdr:row>71</xdr:row>
      <xdr:rowOff>15240</xdr:rowOff>
    </xdr:to>
    <xdr:sp macro="" textlink="">
      <xdr:nvSpPr>
        <xdr:cNvPr id="13" name="TextBox 12">
          <a:extLst>
            <a:ext uri="{FF2B5EF4-FFF2-40B4-BE49-F238E27FC236}">
              <a16:creationId xmlns:a16="http://schemas.microsoft.com/office/drawing/2014/main" id="{32EDCE7F-D86E-4E2C-A6E9-A238D3ACB2FE}"/>
            </a:ext>
          </a:extLst>
        </xdr:cNvPr>
        <xdr:cNvSpPr txBox="1"/>
      </xdr:nvSpPr>
      <xdr:spPr>
        <a:xfrm>
          <a:off x="6149340" y="365760"/>
          <a:ext cx="1882140" cy="563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Production time in overtime hours</a:t>
          </a:r>
        </a:p>
      </xdr:txBody>
    </xdr:sp>
    <xdr:clientData/>
  </xdr:twoCellAnchor>
  <xdr:twoCellAnchor>
    <xdr:from>
      <xdr:col>1</xdr:col>
      <xdr:colOff>0</xdr:colOff>
      <xdr:row>83</xdr:row>
      <xdr:rowOff>175260</xdr:rowOff>
    </xdr:from>
    <xdr:to>
      <xdr:col>4</xdr:col>
      <xdr:colOff>0</xdr:colOff>
      <xdr:row>86</xdr:row>
      <xdr:rowOff>167640</xdr:rowOff>
    </xdr:to>
    <xdr:sp macro="" textlink="">
      <xdr:nvSpPr>
        <xdr:cNvPr id="14" name="TextBox 13">
          <a:extLst>
            <a:ext uri="{FF2B5EF4-FFF2-40B4-BE49-F238E27FC236}">
              <a16:creationId xmlns:a16="http://schemas.microsoft.com/office/drawing/2014/main" id="{5C1E60AB-63D1-435A-968A-1FEFBEC101AF}"/>
            </a:ext>
          </a:extLst>
        </xdr:cNvPr>
        <xdr:cNvSpPr txBox="1"/>
      </xdr:nvSpPr>
      <xdr:spPr>
        <a:xfrm>
          <a:off x="609600" y="358140"/>
          <a:ext cx="1882140" cy="541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dk1"/>
              </a:solidFill>
              <a:effectLst/>
              <a:latin typeface="+mn-lt"/>
              <a:ea typeface="+mn-ea"/>
              <a:cs typeface="+mn-cs"/>
            </a:rPr>
            <a:t>Parts</a:t>
          </a:r>
          <a:r>
            <a:rPr lang="en-IN" sz="1100" baseline="0">
              <a:solidFill>
                <a:schemeClr val="dk1"/>
              </a:solidFill>
              <a:effectLst/>
              <a:latin typeface="+mn-lt"/>
              <a:ea typeface="+mn-ea"/>
              <a:cs typeface="+mn-cs"/>
            </a:rPr>
            <a:t> produced by each machine</a:t>
          </a:r>
          <a:endParaRPr lang="en-IN">
            <a:effectLst/>
          </a:endParaRPr>
        </a:p>
      </xdr:txBody>
    </xdr:sp>
    <xdr:clientData/>
  </xdr:twoCellAnchor>
  <xdr:twoCellAnchor>
    <xdr:from>
      <xdr:col>10</xdr:col>
      <xdr:colOff>0</xdr:colOff>
      <xdr:row>84</xdr:row>
      <xdr:rowOff>0</xdr:rowOff>
    </xdr:from>
    <xdr:to>
      <xdr:col>13</xdr:col>
      <xdr:colOff>53340</xdr:colOff>
      <xdr:row>87</xdr:row>
      <xdr:rowOff>15240</xdr:rowOff>
    </xdr:to>
    <xdr:sp macro="" textlink="">
      <xdr:nvSpPr>
        <xdr:cNvPr id="15" name="TextBox 14">
          <a:extLst>
            <a:ext uri="{FF2B5EF4-FFF2-40B4-BE49-F238E27FC236}">
              <a16:creationId xmlns:a16="http://schemas.microsoft.com/office/drawing/2014/main" id="{6B9413BE-4D8C-46EA-96A9-5695E8D1C699}"/>
            </a:ext>
          </a:extLst>
        </xdr:cNvPr>
        <xdr:cNvSpPr txBox="1"/>
      </xdr:nvSpPr>
      <xdr:spPr>
        <a:xfrm>
          <a:off x="6149340" y="365760"/>
          <a:ext cx="1882140" cy="563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Production time in overtime hours</a:t>
          </a:r>
        </a:p>
      </xdr:txBody>
    </xdr:sp>
    <xdr:clientData/>
  </xdr:twoCellAnchor>
  <xdr:twoCellAnchor>
    <xdr:from>
      <xdr:col>1</xdr:col>
      <xdr:colOff>0</xdr:colOff>
      <xdr:row>100</xdr:row>
      <xdr:rowOff>175260</xdr:rowOff>
    </xdr:from>
    <xdr:to>
      <xdr:col>4</xdr:col>
      <xdr:colOff>0</xdr:colOff>
      <xdr:row>103</xdr:row>
      <xdr:rowOff>167640</xdr:rowOff>
    </xdr:to>
    <xdr:sp macro="" textlink="">
      <xdr:nvSpPr>
        <xdr:cNvPr id="16" name="TextBox 15">
          <a:extLst>
            <a:ext uri="{FF2B5EF4-FFF2-40B4-BE49-F238E27FC236}">
              <a16:creationId xmlns:a16="http://schemas.microsoft.com/office/drawing/2014/main" id="{D198DAD9-E00B-442C-9E22-3706E01F91DA}"/>
            </a:ext>
          </a:extLst>
        </xdr:cNvPr>
        <xdr:cNvSpPr txBox="1"/>
      </xdr:nvSpPr>
      <xdr:spPr>
        <a:xfrm>
          <a:off x="609600" y="358140"/>
          <a:ext cx="1882140" cy="541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dk1"/>
              </a:solidFill>
              <a:effectLst/>
              <a:latin typeface="+mn-lt"/>
              <a:ea typeface="+mn-ea"/>
              <a:cs typeface="+mn-cs"/>
            </a:rPr>
            <a:t>Parts</a:t>
          </a:r>
          <a:r>
            <a:rPr lang="en-IN" sz="1100" baseline="0">
              <a:solidFill>
                <a:schemeClr val="dk1"/>
              </a:solidFill>
              <a:effectLst/>
              <a:latin typeface="+mn-lt"/>
              <a:ea typeface="+mn-ea"/>
              <a:cs typeface="+mn-cs"/>
            </a:rPr>
            <a:t> produced by each machine</a:t>
          </a:r>
          <a:endParaRPr lang="en-IN">
            <a:effectLst/>
          </a:endParaRPr>
        </a:p>
      </xdr:txBody>
    </xdr:sp>
    <xdr:clientData/>
  </xdr:twoCellAnchor>
  <xdr:twoCellAnchor>
    <xdr:from>
      <xdr:col>10</xdr:col>
      <xdr:colOff>0</xdr:colOff>
      <xdr:row>101</xdr:row>
      <xdr:rowOff>0</xdr:rowOff>
    </xdr:from>
    <xdr:to>
      <xdr:col>13</xdr:col>
      <xdr:colOff>53340</xdr:colOff>
      <xdr:row>104</xdr:row>
      <xdr:rowOff>15240</xdr:rowOff>
    </xdr:to>
    <xdr:sp macro="" textlink="">
      <xdr:nvSpPr>
        <xdr:cNvPr id="17" name="TextBox 16">
          <a:extLst>
            <a:ext uri="{FF2B5EF4-FFF2-40B4-BE49-F238E27FC236}">
              <a16:creationId xmlns:a16="http://schemas.microsoft.com/office/drawing/2014/main" id="{FA8EF90B-E584-42B1-BE3E-22FCD0AA22CF}"/>
            </a:ext>
          </a:extLst>
        </xdr:cNvPr>
        <xdr:cNvSpPr txBox="1"/>
      </xdr:nvSpPr>
      <xdr:spPr>
        <a:xfrm>
          <a:off x="6149340" y="365760"/>
          <a:ext cx="1882140" cy="563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Production time in overtime hours</a:t>
          </a:r>
        </a:p>
      </xdr:txBody>
    </xdr:sp>
    <xdr:clientData/>
  </xdr:twoCellAnchor>
  <xdr:twoCellAnchor>
    <xdr:from>
      <xdr:col>1</xdr:col>
      <xdr:colOff>0</xdr:colOff>
      <xdr:row>116</xdr:row>
      <xdr:rowOff>175260</xdr:rowOff>
    </xdr:from>
    <xdr:to>
      <xdr:col>4</xdr:col>
      <xdr:colOff>0</xdr:colOff>
      <xdr:row>119</xdr:row>
      <xdr:rowOff>167640</xdr:rowOff>
    </xdr:to>
    <xdr:sp macro="" textlink="">
      <xdr:nvSpPr>
        <xdr:cNvPr id="18" name="TextBox 17">
          <a:extLst>
            <a:ext uri="{FF2B5EF4-FFF2-40B4-BE49-F238E27FC236}">
              <a16:creationId xmlns:a16="http://schemas.microsoft.com/office/drawing/2014/main" id="{CFDEECC5-47B9-4F1C-B152-A99629DDC40B}"/>
            </a:ext>
          </a:extLst>
        </xdr:cNvPr>
        <xdr:cNvSpPr txBox="1"/>
      </xdr:nvSpPr>
      <xdr:spPr>
        <a:xfrm>
          <a:off x="609600" y="358140"/>
          <a:ext cx="1882140" cy="541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dk1"/>
              </a:solidFill>
              <a:effectLst/>
              <a:latin typeface="+mn-lt"/>
              <a:ea typeface="+mn-ea"/>
              <a:cs typeface="+mn-cs"/>
            </a:rPr>
            <a:t>Parts</a:t>
          </a:r>
          <a:r>
            <a:rPr lang="en-IN" sz="1100" baseline="0">
              <a:solidFill>
                <a:schemeClr val="dk1"/>
              </a:solidFill>
              <a:effectLst/>
              <a:latin typeface="+mn-lt"/>
              <a:ea typeface="+mn-ea"/>
              <a:cs typeface="+mn-cs"/>
            </a:rPr>
            <a:t> produced by each machine</a:t>
          </a:r>
          <a:endParaRPr lang="en-IN">
            <a:effectLst/>
          </a:endParaRPr>
        </a:p>
      </xdr:txBody>
    </xdr:sp>
    <xdr:clientData/>
  </xdr:twoCellAnchor>
  <xdr:twoCellAnchor>
    <xdr:from>
      <xdr:col>10</xdr:col>
      <xdr:colOff>0</xdr:colOff>
      <xdr:row>117</xdr:row>
      <xdr:rowOff>0</xdr:rowOff>
    </xdr:from>
    <xdr:to>
      <xdr:col>13</xdr:col>
      <xdr:colOff>53340</xdr:colOff>
      <xdr:row>120</xdr:row>
      <xdr:rowOff>15240</xdr:rowOff>
    </xdr:to>
    <xdr:sp macro="" textlink="">
      <xdr:nvSpPr>
        <xdr:cNvPr id="19" name="TextBox 18">
          <a:extLst>
            <a:ext uri="{FF2B5EF4-FFF2-40B4-BE49-F238E27FC236}">
              <a16:creationId xmlns:a16="http://schemas.microsoft.com/office/drawing/2014/main" id="{6DF59111-307B-4978-8D11-4BD5E9182E2C}"/>
            </a:ext>
          </a:extLst>
        </xdr:cNvPr>
        <xdr:cNvSpPr txBox="1"/>
      </xdr:nvSpPr>
      <xdr:spPr>
        <a:xfrm>
          <a:off x="6149340" y="365760"/>
          <a:ext cx="1882140" cy="563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Production time in overtime hours</a:t>
          </a:r>
        </a:p>
      </xdr:txBody>
    </xdr:sp>
    <xdr:clientData/>
  </xdr:twoCellAnchor>
  <xdr:twoCellAnchor>
    <xdr:from>
      <xdr:col>1</xdr:col>
      <xdr:colOff>0</xdr:colOff>
      <xdr:row>132</xdr:row>
      <xdr:rowOff>175260</xdr:rowOff>
    </xdr:from>
    <xdr:to>
      <xdr:col>4</xdr:col>
      <xdr:colOff>0</xdr:colOff>
      <xdr:row>135</xdr:row>
      <xdr:rowOff>167640</xdr:rowOff>
    </xdr:to>
    <xdr:sp macro="" textlink="">
      <xdr:nvSpPr>
        <xdr:cNvPr id="20" name="TextBox 19">
          <a:extLst>
            <a:ext uri="{FF2B5EF4-FFF2-40B4-BE49-F238E27FC236}">
              <a16:creationId xmlns:a16="http://schemas.microsoft.com/office/drawing/2014/main" id="{9FA43235-9E1F-4F3E-91CD-3B6525CC7A57}"/>
            </a:ext>
          </a:extLst>
        </xdr:cNvPr>
        <xdr:cNvSpPr txBox="1"/>
      </xdr:nvSpPr>
      <xdr:spPr>
        <a:xfrm>
          <a:off x="609600" y="358140"/>
          <a:ext cx="1882140" cy="541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dk1"/>
              </a:solidFill>
              <a:effectLst/>
              <a:latin typeface="+mn-lt"/>
              <a:ea typeface="+mn-ea"/>
              <a:cs typeface="+mn-cs"/>
            </a:rPr>
            <a:t>Parts</a:t>
          </a:r>
          <a:r>
            <a:rPr lang="en-IN" sz="1100" baseline="0">
              <a:solidFill>
                <a:schemeClr val="dk1"/>
              </a:solidFill>
              <a:effectLst/>
              <a:latin typeface="+mn-lt"/>
              <a:ea typeface="+mn-ea"/>
              <a:cs typeface="+mn-cs"/>
            </a:rPr>
            <a:t> produced by each machine</a:t>
          </a:r>
          <a:endParaRPr lang="en-IN">
            <a:effectLst/>
          </a:endParaRPr>
        </a:p>
      </xdr:txBody>
    </xdr:sp>
    <xdr:clientData/>
  </xdr:twoCellAnchor>
  <xdr:twoCellAnchor>
    <xdr:from>
      <xdr:col>10</xdr:col>
      <xdr:colOff>0</xdr:colOff>
      <xdr:row>133</xdr:row>
      <xdr:rowOff>0</xdr:rowOff>
    </xdr:from>
    <xdr:to>
      <xdr:col>13</xdr:col>
      <xdr:colOff>53340</xdr:colOff>
      <xdr:row>136</xdr:row>
      <xdr:rowOff>15240</xdr:rowOff>
    </xdr:to>
    <xdr:sp macro="" textlink="">
      <xdr:nvSpPr>
        <xdr:cNvPr id="21" name="TextBox 20">
          <a:extLst>
            <a:ext uri="{FF2B5EF4-FFF2-40B4-BE49-F238E27FC236}">
              <a16:creationId xmlns:a16="http://schemas.microsoft.com/office/drawing/2014/main" id="{B3E425AB-2565-4E66-A575-BFB9E1A78664}"/>
            </a:ext>
          </a:extLst>
        </xdr:cNvPr>
        <xdr:cNvSpPr txBox="1"/>
      </xdr:nvSpPr>
      <xdr:spPr>
        <a:xfrm>
          <a:off x="6149340" y="365760"/>
          <a:ext cx="1882140" cy="563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Production time in overtime hours</a:t>
          </a:r>
        </a:p>
      </xdr:txBody>
    </xdr:sp>
    <xdr:clientData/>
  </xdr:twoCellAnchor>
  <xdr:twoCellAnchor>
    <xdr:from>
      <xdr:col>1</xdr:col>
      <xdr:colOff>0</xdr:colOff>
      <xdr:row>149</xdr:row>
      <xdr:rowOff>175260</xdr:rowOff>
    </xdr:from>
    <xdr:to>
      <xdr:col>4</xdr:col>
      <xdr:colOff>0</xdr:colOff>
      <xdr:row>152</xdr:row>
      <xdr:rowOff>167640</xdr:rowOff>
    </xdr:to>
    <xdr:sp macro="" textlink="">
      <xdr:nvSpPr>
        <xdr:cNvPr id="22" name="TextBox 21">
          <a:extLst>
            <a:ext uri="{FF2B5EF4-FFF2-40B4-BE49-F238E27FC236}">
              <a16:creationId xmlns:a16="http://schemas.microsoft.com/office/drawing/2014/main" id="{3609AB93-1C3A-4DB4-ABE1-2B75F280B2EA}"/>
            </a:ext>
          </a:extLst>
        </xdr:cNvPr>
        <xdr:cNvSpPr txBox="1"/>
      </xdr:nvSpPr>
      <xdr:spPr>
        <a:xfrm>
          <a:off x="609600" y="358140"/>
          <a:ext cx="1882140" cy="541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dk1"/>
              </a:solidFill>
              <a:effectLst/>
              <a:latin typeface="+mn-lt"/>
              <a:ea typeface="+mn-ea"/>
              <a:cs typeface="+mn-cs"/>
            </a:rPr>
            <a:t>Parts</a:t>
          </a:r>
          <a:r>
            <a:rPr lang="en-IN" sz="1100" baseline="0">
              <a:solidFill>
                <a:schemeClr val="dk1"/>
              </a:solidFill>
              <a:effectLst/>
              <a:latin typeface="+mn-lt"/>
              <a:ea typeface="+mn-ea"/>
              <a:cs typeface="+mn-cs"/>
            </a:rPr>
            <a:t> produced by each machine</a:t>
          </a:r>
          <a:endParaRPr lang="en-IN">
            <a:effectLst/>
          </a:endParaRPr>
        </a:p>
      </xdr:txBody>
    </xdr:sp>
    <xdr:clientData/>
  </xdr:twoCellAnchor>
  <xdr:twoCellAnchor>
    <xdr:from>
      <xdr:col>10</xdr:col>
      <xdr:colOff>0</xdr:colOff>
      <xdr:row>150</xdr:row>
      <xdr:rowOff>0</xdr:rowOff>
    </xdr:from>
    <xdr:to>
      <xdr:col>13</xdr:col>
      <xdr:colOff>53340</xdr:colOff>
      <xdr:row>153</xdr:row>
      <xdr:rowOff>15240</xdr:rowOff>
    </xdr:to>
    <xdr:sp macro="" textlink="">
      <xdr:nvSpPr>
        <xdr:cNvPr id="23" name="TextBox 22">
          <a:extLst>
            <a:ext uri="{FF2B5EF4-FFF2-40B4-BE49-F238E27FC236}">
              <a16:creationId xmlns:a16="http://schemas.microsoft.com/office/drawing/2014/main" id="{545FB47A-DA52-4995-9185-D9408A513DE4}"/>
            </a:ext>
          </a:extLst>
        </xdr:cNvPr>
        <xdr:cNvSpPr txBox="1"/>
      </xdr:nvSpPr>
      <xdr:spPr>
        <a:xfrm>
          <a:off x="6149340" y="365760"/>
          <a:ext cx="1882140" cy="563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Production time in overtime hours</a:t>
          </a:r>
        </a:p>
      </xdr:txBody>
    </xdr:sp>
    <xdr:clientData/>
  </xdr:twoCellAnchor>
  <xdr:twoCellAnchor>
    <xdr:from>
      <xdr:col>1</xdr:col>
      <xdr:colOff>0</xdr:colOff>
      <xdr:row>164</xdr:row>
      <xdr:rowOff>175260</xdr:rowOff>
    </xdr:from>
    <xdr:to>
      <xdr:col>4</xdr:col>
      <xdr:colOff>0</xdr:colOff>
      <xdr:row>167</xdr:row>
      <xdr:rowOff>167640</xdr:rowOff>
    </xdr:to>
    <xdr:sp macro="" textlink="">
      <xdr:nvSpPr>
        <xdr:cNvPr id="24" name="TextBox 23">
          <a:extLst>
            <a:ext uri="{FF2B5EF4-FFF2-40B4-BE49-F238E27FC236}">
              <a16:creationId xmlns:a16="http://schemas.microsoft.com/office/drawing/2014/main" id="{4CE3D3F4-DC26-4755-BD80-53FF09AB4114}"/>
            </a:ext>
          </a:extLst>
        </xdr:cNvPr>
        <xdr:cNvSpPr txBox="1"/>
      </xdr:nvSpPr>
      <xdr:spPr>
        <a:xfrm>
          <a:off x="609600" y="358140"/>
          <a:ext cx="1882140" cy="541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dk1"/>
              </a:solidFill>
              <a:effectLst/>
              <a:latin typeface="+mn-lt"/>
              <a:ea typeface="+mn-ea"/>
              <a:cs typeface="+mn-cs"/>
            </a:rPr>
            <a:t>Parts</a:t>
          </a:r>
          <a:r>
            <a:rPr lang="en-IN" sz="1100" baseline="0">
              <a:solidFill>
                <a:schemeClr val="dk1"/>
              </a:solidFill>
              <a:effectLst/>
              <a:latin typeface="+mn-lt"/>
              <a:ea typeface="+mn-ea"/>
              <a:cs typeface="+mn-cs"/>
            </a:rPr>
            <a:t> produced by each machine</a:t>
          </a:r>
          <a:endParaRPr lang="en-IN">
            <a:effectLst/>
          </a:endParaRPr>
        </a:p>
      </xdr:txBody>
    </xdr:sp>
    <xdr:clientData/>
  </xdr:twoCellAnchor>
  <xdr:twoCellAnchor>
    <xdr:from>
      <xdr:col>10</xdr:col>
      <xdr:colOff>0</xdr:colOff>
      <xdr:row>165</xdr:row>
      <xdr:rowOff>0</xdr:rowOff>
    </xdr:from>
    <xdr:to>
      <xdr:col>13</xdr:col>
      <xdr:colOff>53340</xdr:colOff>
      <xdr:row>168</xdr:row>
      <xdr:rowOff>15240</xdr:rowOff>
    </xdr:to>
    <xdr:sp macro="" textlink="">
      <xdr:nvSpPr>
        <xdr:cNvPr id="25" name="TextBox 24">
          <a:extLst>
            <a:ext uri="{FF2B5EF4-FFF2-40B4-BE49-F238E27FC236}">
              <a16:creationId xmlns:a16="http://schemas.microsoft.com/office/drawing/2014/main" id="{C55235FE-029F-47DB-AEA4-F7CAFB8C820C}"/>
            </a:ext>
          </a:extLst>
        </xdr:cNvPr>
        <xdr:cNvSpPr txBox="1"/>
      </xdr:nvSpPr>
      <xdr:spPr>
        <a:xfrm>
          <a:off x="6149340" y="365760"/>
          <a:ext cx="1882140" cy="563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Production time in overtime hours</a:t>
          </a:r>
        </a:p>
      </xdr:txBody>
    </xdr:sp>
    <xdr:clientData/>
  </xdr:twoCellAnchor>
  <xdr:twoCellAnchor>
    <xdr:from>
      <xdr:col>1</xdr:col>
      <xdr:colOff>0</xdr:colOff>
      <xdr:row>181</xdr:row>
      <xdr:rowOff>175260</xdr:rowOff>
    </xdr:from>
    <xdr:to>
      <xdr:col>4</xdr:col>
      <xdr:colOff>0</xdr:colOff>
      <xdr:row>184</xdr:row>
      <xdr:rowOff>167640</xdr:rowOff>
    </xdr:to>
    <xdr:sp macro="" textlink="">
      <xdr:nvSpPr>
        <xdr:cNvPr id="26" name="TextBox 25">
          <a:extLst>
            <a:ext uri="{FF2B5EF4-FFF2-40B4-BE49-F238E27FC236}">
              <a16:creationId xmlns:a16="http://schemas.microsoft.com/office/drawing/2014/main" id="{BEDD8ECC-5F80-4C51-806F-CDAC83861E46}"/>
            </a:ext>
          </a:extLst>
        </xdr:cNvPr>
        <xdr:cNvSpPr txBox="1"/>
      </xdr:nvSpPr>
      <xdr:spPr>
        <a:xfrm>
          <a:off x="609600" y="358140"/>
          <a:ext cx="1882140" cy="541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dk1"/>
              </a:solidFill>
              <a:effectLst/>
              <a:latin typeface="+mn-lt"/>
              <a:ea typeface="+mn-ea"/>
              <a:cs typeface="+mn-cs"/>
            </a:rPr>
            <a:t>Parts</a:t>
          </a:r>
          <a:r>
            <a:rPr lang="en-IN" sz="1100" baseline="0">
              <a:solidFill>
                <a:schemeClr val="dk1"/>
              </a:solidFill>
              <a:effectLst/>
              <a:latin typeface="+mn-lt"/>
              <a:ea typeface="+mn-ea"/>
              <a:cs typeface="+mn-cs"/>
            </a:rPr>
            <a:t> produced by each machine</a:t>
          </a:r>
          <a:endParaRPr lang="en-IN">
            <a:effectLst/>
          </a:endParaRPr>
        </a:p>
      </xdr:txBody>
    </xdr:sp>
    <xdr:clientData/>
  </xdr:twoCellAnchor>
  <xdr:twoCellAnchor>
    <xdr:from>
      <xdr:col>10</xdr:col>
      <xdr:colOff>0</xdr:colOff>
      <xdr:row>182</xdr:row>
      <xdr:rowOff>0</xdr:rowOff>
    </xdr:from>
    <xdr:to>
      <xdr:col>13</xdr:col>
      <xdr:colOff>53340</xdr:colOff>
      <xdr:row>185</xdr:row>
      <xdr:rowOff>15240</xdr:rowOff>
    </xdr:to>
    <xdr:sp macro="" textlink="">
      <xdr:nvSpPr>
        <xdr:cNvPr id="27" name="TextBox 26">
          <a:extLst>
            <a:ext uri="{FF2B5EF4-FFF2-40B4-BE49-F238E27FC236}">
              <a16:creationId xmlns:a16="http://schemas.microsoft.com/office/drawing/2014/main" id="{498483FC-35C5-4AE6-BA41-639A241A4F24}"/>
            </a:ext>
          </a:extLst>
        </xdr:cNvPr>
        <xdr:cNvSpPr txBox="1"/>
      </xdr:nvSpPr>
      <xdr:spPr>
        <a:xfrm>
          <a:off x="6149340" y="365760"/>
          <a:ext cx="1882140" cy="563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Production time in overtime hours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xdr:row>
      <xdr:rowOff>175260</xdr:rowOff>
    </xdr:from>
    <xdr:to>
      <xdr:col>4</xdr:col>
      <xdr:colOff>0</xdr:colOff>
      <xdr:row>4</xdr:row>
      <xdr:rowOff>167640</xdr:rowOff>
    </xdr:to>
    <xdr:sp macro="" textlink="">
      <xdr:nvSpPr>
        <xdr:cNvPr id="2" name="TextBox 1">
          <a:extLst>
            <a:ext uri="{FF2B5EF4-FFF2-40B4-BE49-F238E27FC236}">
              <a16:creationId xmlns:a16="http://schemas.microsoft.com/office/drawing/2014/main" id="{9052E79D-4719-4D38-AC3F-110DDBD905B1}"/>
            </a:ext>
          </a:extLst>
        </xdr:cNvPr>
        <xdr:cNvSpPr txBox="1"/>
      </xdr:nvSpPr>
      <xdr:spPr>
        <a:xfrm>
          <a:off x="1752600" y="358140"/>
          <a:ext cx="1882140" cy="541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Parts</a:t>
          </a:r>
          <a:r>
            <a:rPr lang="en-IN" sz="1100" baseline="0"/>
            <a:t> produced by each machine</a:t>
          </a:r>
          <a:endParaRPr lang="en-IN" sz="1100"/>
        </a:p>
      </xdr:txBody>
    </xdr:sp>
    <xdr:clientData/>
  </xdr:twoCellAnchor>
  <xdr:twoCellAnchor>
    <xdr:from>
      <xdr:col>10</xdr:col>
      <xdr:colOff>0</xdr:colOff>
      <xdr:row>2</xdr:row>
      <xdr:rowOff>0</xdr:rowOff>
    </xdr:from>
    <xdr:to>
      <xdr:col>13</xdr:col>
      <xdr:colOff>53340</xdr:colOff>
      <xdr:row>5</xdr:row>
      <xdr:rowOff>15240</xdr:rowOff>
    </xdr:to>
    <xdr:sp macro="" textlink="">
      <xdr:nvSpPr>
        <xdr:cNvPr id="3" name="TextBox 2">
          <a:extLst>
            <a:ext uri="{FF2B5EF4-FFF2-40B4-BE49-F238E27FC236}">
              <a16:creationId xmlns:a16="http://schemas.microsoft.com/office/drawing/2014/main" id="{D87C363E-F21E-4F46-BA6A-63650A183A42}"/>
            </a:ext>
          </a:extLst>
        </xdr:cNvPr>
        <xdr:cNvSpPr txBox="1"/>
      </xdr:nvSpPr>
      <xdr:spPr>
        <a:xfrm>
          <a:off x="7292340" y="365760"/>
          <a:ext cx="1973580" cy="563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Production time in overtime hours</a:t>
          </a:r>
        </a:p>
      </xdr:txBody>
    </xdr:sp>
    <xdr:clientData/>
  </xdr:twoCellAnchor>
  <xdr:twoCellAnchor>
    <xdr:from>
      <xdr:col>1</xdr:col>
      <xdr:colOff>0</xdr:colOff>
      <xdr:row>16</xdr:row>
      <xdr:rowOff>175260</xdr:rowOff>
    </xdr:from>
    <xdr:to>
      <xdr:col>4</xdr:col>
      <xdr:colOff>0</xdr:colOff>
      <xdr:row>19</xdr:row>
      <xdr:rowOff>167640</xdr:rowOff>
    </xdr:to>
    <xdr:sp macro="" textlink="">
      <xdr:nvSpPr>
        <xdr:cNvPr id="4" name="TextBox 3">
          <a:extLst>
            <a:ext uri="{FF2B5EF4-FFF2-40B4-BE49-F238E27FC236}">
              <a16:creationId xmlns:a16="http://schemas.microsoft.com/office/drawing/2014/main" id="{5C280C4B-7343-4C69-862E-3CF356992450}"/>
            </a:ext>
          </a:extLst>
        </xdr:cNvPr>
        <xdr:cNvSpPr txBox="1"/>
      </xdr:nvSpPr>
      <xdr:spPr>
        <a:xfrm>
          <a:off x="1752600" y="3101340"/>
          <a:ext cx="1882140" cy="541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Parts</a:t>
          </a:r>
          <a:r>
            <a:rPr lang="en-IN" sz="1100" baseline="0"/>
            <a:t> produced by each machine</a:t>
          </a:r>
          <a:endParaRPr lang="en-IN" sz="1100"/>
        </a:p>
      </xdr:txBody>
    </xdr:sp>
    <xdr:clientData/>
  </xdr:twoCellAnchor>
  <xdr:twoCellAnchor>
    <xdr:from>
      <xdr:col>10</xdr:col>
      <xdr:colOff>0</xdr:colOff>
      <xdr:row>17</xdr:row>
      <xdr:rowOff>0</xdr:rowOff>
    </xdr:from>
    <xdr:to>
      <xdr:col>13</xdr:col>
      <xdr:colOff>53340</xdr:colOff>
      <xdr:row>20</xdr:row>
      <xdr:rowOff>15240</xdr:rowOff>
    </xdr:to>
    <xdr:sp macro="" textlink="">
      <xdr:nvSpPr>
        <xdr:cNvPr id="5" name="TextBox 4">
          <a:extLst>
            <a:ext uri="{FF2B5EF4-FFF2-40B4-BE49-F238E27FC236}">
              <a16:creationId xmlns:a16="http://schemas.microsoft.com/office/drawing/2014/main" id="{65FA6362-D205-43A7-9872-FE384C6FEE31}"/>
            </a:ext>
          </a:extLst>
        </xdr:cNvPr>
        <xdr:cNvSpPr txBox="1"/>
      </xdr:nvSpPr>
      <xdr:spPr>
        <a:xfrm>
          <a:off x="7292340" y="3108960"/>
          <a:ext cx="1973580" cy="563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Production time in overtime hours</a:t>
          </a:r>
        </a:p>
      </xdr:txBody>
    </xdr:sp>
    <xdr:clientData/>
  </xdr:twoCellAnchor>
  <xdr:twoCellAnchor>
    <xdr:from>
      <xdr:col>1</xdr:col>
      <xdr:colOff>0</xdr:colOff>
      <xdr:row>33</xdr:row>
      <xdr:rowOff>175260</xdr:rowOff>
    </xdr:from>
    <xdr:to>
      <xdr:col>4</xdr:col>
      <xdr:colOff>0</xdr:colOff>
      <xdr:row>36</xdr:row>
      <xdr:rowOff>167640</xdr:rowOff>
    </xdr:to>
    <xdr:sp macro="" textlink="">
      <xdr:nvSpPr>
        <xdr:cNvPr id="6" name="TextBox 5">
          <a:extLst>
            <a:ext uri="{FF2B5EF4-FFF2-40B4-BE49-F238E27FC236}">
              <a16:creationId xmlns:a16="http://schemas.microsoft.com/office/drawing/2014/main" id="{DC2382A0-AE03-4686-99CF-F79332DA9886}"/>
            </a:ext>
          </a:extLst>
        </xdr:cNvPr>
        <xdr:cNvSpPr txBox="1"/>
      </xdr:nvSpPr>
      <xdr:spPr>
        <a:xfrm>
          <a:off x="1752600" y="6210300"/>
          <a:ext cx="1882140" cy="541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dk1"/>
              </a:solidFill>
              <a:effectLst/>
              <a:latin typeface="+mn-lt"/>
              <a:ea typeface="+mn-ea"/>
              <a:cs typeface="+mn-cs"/>
            </a:rPr>
            <a:t>Parts</a:t>
          </a:r>
          <a:r>
            <a:rPr lang="en-IN" sz="1100" baseline="0">
              <a:solidFill>
                <a:schemeClr val="dk1"/>
              </a:solidFill>
              <a:effectLst/>
              <a:latin typeface="+mn-lt"/>
              <a:ea typeface="+mn-ea"/>
              <a:cs typeface="+mn-cs"/>
            </a:rPr>
            <a:t> produced by each machine</a:t>
          </a:r>
          <a:endParaRPr lang="en-IN">
            <a:effectLst/>
          </a:endParaRPr>
        </a:p>
      </xdr:txBody>
    </xdr:sp>
    <xdr:clientData/>
  </xdr:twoCellAnchor>
  <xdr:twoCellAnchor>
    <xdr:from>
      <xdr:col>10</xdr:col>
      <xdr:colOff>0</xdr:colOff>
      <xdr:row>34</xdr:row>
      <xdr:rowOff>0</xdr:rowOff>
    </xdr:from>
    <xdr:to>
      <xdr:col>13</xdr:col>
      <xdr:colOff>53340</xdr:colOff>
      <xdr:row>37</xdr:row>
      <xdr:rowOff>15240</xdr:rowOff>
    </xdr:to>
    <xdr:sp macro="" textlink="">
      <xdr:nvSpPr>
        <xdr:cNvPr id="7" name="TextBox 6">
          <a:extLst>
            <a:ext uri="{FF2B5EF4-FFF2-40B4-BE49-F238E27FC236}">
              <a16:creationId xmlns:a16="http://schemas.microsoft.com/office/drawing/2014/main" id="{785E1C71-1221-49CF-B507-2FC80CE66CD4}"/>
            </a:ext>
          </a:extLst>
        </xdr:cNvPr>
        <xdr:cNvSpPr txBox="1"/>
      </xdr:nvSpPr>
      <xdr:spPr>
        <a:xfrm>
          <a:off x="7292340" y="6217920"/>
          <a:ext cx="1973580" cy="563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Production time in overtime hours</a:t>
          </a:r>
        </a:p>
      </xdr:txBody>
    </xdr:sp>
    <xdr:clientData/>
  </xdr:twoCellAnchor>
  <xdr:twoCellAnchor>
    <xdr:from>
      <xdr:col>1</xdr:col>
      <xdr:colOff>0</xdr:colOff>
      <xdr:row>51</xdr:row>
      <xdr:rowOff>175260</xdr:rowOff>
    </xdr:from>
    <xdr:to>
      <xdr:col>4</xdr:col>
      <xdr:colOff>0</xdr:colOff>
      <xdr:row>54</xdr:row>
      <xdr:rowOff>167640</xdr:rowOff>
    </xdr:to>
    <xdr:sp macro="" textlink="">
      <xdr:nvSpPr>
        <xdr:cNvPr id="8" name="TextBox 7">
          <a:extLst>
            <a:ext uri="{FF2B5EF4-FFF2-40B4-BE49-F238E27FC236}">
              <a16:creationId xmlns:a16="http://schemas.microsoft.com/office/drawing/2014/main" id="{3B83A0A6-5C06-428E-AF25-5C3F454D25D5}"/>
            </a:ext>
          </a:extLst>
        </xdr:cNvPr>
        <xdr:cNvSpPr txBox="1"/>
      </xdr:nvSpPr>
      <xdr:spPr>
        <a:xfrm>
          <a:off x="1752600" y="9502140"/>
          <a:ext cx="1882140" cy="541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dk1"/>
              </a:solidFill>
              <a:effectLst/>
              <a:latin typeface="+mn-lt"/>
              <a:ea typeface="+mn-ea"/>
              <a:cs typeface="+mn-cs"/>
            </a:rPr>
            <a:t>Parts</a:t>
          </a:r>
          <a:r>
            <a:rPr lang="en-IN" sz="1100" baseline="0">
              <a:solidFill>
                <a:schemeClr val="dk1"/>
              </a:solidFill>
              <a:effectLst/>
              <a:latin typeface="+mn-lt"/>
              <a:ea typeface="+mn-ea"/>
              <a:cs typeface="+mn-cs"/>
            </a:rPr>
            <a:t> produced by each machine</a:t>
          </a:r>
          <a:endParaRPr lang="en-IN">
            <a:effectLst/>
          </a:endParaRPr>
        </a:p>
      </xdr:txBody>
    </xdr:sp>
    <xdr:clientData/>
  </xdr:twoCellAnchor>
  <xdr:twoCellAnchor>
    <xdr:from>
      <xdr:col>10</xdr:col>
      <xdr:colOff>0</xdr:colOff>
      <xdr:row>52</xdr:row>
      <xdr:rowOff>0</xdr:rowOff>
    </xdr:from>
    <xdr:to>
      <xdr:col>13</xdr:col>
      <xdr:colOff>53340</xdr:colOff>
      <xdr:row>55</xdr:row>
      <xdr:rowOff>15240</xdr:rowOff>
    </xdr:to>
    <xdr:sp macro="" textlink="">
      <xdr:nvSpPr>
        <xdr:cNvPr id="9" name="TextBox 8">
          <a:extLst>
            <a:ext uri="{FF2B5EF4-FFF2-40B4-BE49-F238E27FC236}">
              <a16:creationId xmlns:a16="http://schemas.microsoft.com/office/drawing/2014/main" id="{92E368BB-1E3C-4385-BF52-B012D2752DA7}"/>
            </a:ext>
          </a:extLst>
        </xdr:cNvPr>
        <xdr:cNvSpPr txBox="1"/>
      </xdr:nvSpPr>
      <xdr:spPr>
        <a:xfrm>
          <a:off x="7292340" y="9509760"/>
          <a:ext cx="1973580" cy="563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Production time in overtime hours</a:t>
          </a:r>
        </a:p>
      </xdr:txBody>
    </xdr:sp>
    <xdr:clientData/>
  </xdr:twoCellAnchor>
  <xdr:twoCellAnchor>
    <xdr:from>
      <xdr:col>1</xdr:col>
      <xdr:colOff>0</xdr:colOff>
      <xdr:row>67</xdr:row>
      <xdr:rowOff>175260</xdr:rowOff>
    </xdr:from>
    <xdr:to>
      <xdr:col>4</xdr:col>
      <xdr:colOff>0</xdr:colOff>
      <xdr:row>70</xdr:row>
      <xdr:rowOff>167640</xdr:rowOff>
    </xdr:to>
    <xdr:sp macro="" textlink="">
      <xdr:nvSpPr>
        <xdr:cNvPr id="10" name="TextBox 9">
          <a:extLst>
            <a:ext uri="{FF2B5EF4-FFF2-40B4-BE49-F238E27FC236}">
              <a16:creationId xmlns:a16="http://schemas.microsoft.com/office/drawing/2014/main" id="{86FA1FEA-924E-450F-B6EB-A961A8D4C91E}"/>
            </a:ext>
          </a:extLst>
        </xdr:cNvPr>
        <xdr:cNvSpPr txBox="1"/>
      </xdr:nvSpPr>
      <xdr:spPr>
        <a:xfrm>
          <a:off x="1752600" y="12428220"/>
          <a:ext cx="1882140" cy="541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dk1"/>
              </a:solidFill>
              <a:effectLst/>
              <a:latin typeface="+mn-lt"/>
              <a:ea typeface="+mn-ea"/>
              <a:cs typeface="+mn-cs"/>
            </a:rPr>
            <a:t>Parts</a:t>
          </a:r>
          <a:r>
            <a:rPr lang="en-IN" sz="1100" baseline="0">
              <a:solidFill>
                <a:schemeClr val="dk1"/>
              </a:solidFill>
              <a:effectLst/>
              <a:latin typeface="+mn-lt"/>
              <a:ea typeface="+mn-ea"/>
              <a:cs typeface="+mn-cs"/>
            </a:rPr>
            <a:t> produced by each machine</a:t>
          </a:r>
          <a:endParaRPr lang="en-IN">
            <a:effectLst/>
          </a:endParaRPr>
        </a:p>
      </xdr:txBody>
    </xdr:sp>
    <xdr:clientData/>
  </xdr:twoCellAnchor>
  <xdr:twoCellAnchor>
    <xdr:from>
      <xdr:col>10</xdr:col>
      <xdr:colOff>0</xdr:colOff>
      <xdr:row>68</xdr:row>
      <xdr:rowOff>0</xdr:rowOff>
    </xdr:from>
    <xdr:to>
      <xdr:col>13</xdr:col>
      <xdr:colOff>53340</xdr:colOff>
      <xdr:row>71</xdr:row>
      <xdr:rowOff>15240</xdr:rowOff>
    </xdr:to>
    <xdr:sp macro="" textlink="">
      <xdr:nvSpPr>
        <xdr:cNvPr id="11" name="TextBox 10">
          <a:extLst>
            <a:ext uri="{FF2B5EF4-FFF2-40B4-BE49-F238E27FC236}">
              <a16:creationId xmlns:a16="http://schemas.microsoft.com/office/drawing/2014/main" id="{68900389-F127-4774-83D2-717027A6CA08}"/>
            </a:ext>
          </a:extLst>
        </xdr:cNvPr>
        <xdr:cNvSpPr txBox="1"/>
      </xdr:nvSpPr>
      <xdr:spPr>
        <a:xfrm>
          <a:off x="7292340" y="12435840"/>
          <a:ext cx="1973580" cy="563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Production time in overtime hours</a:t>
          </a:r>
        </a:p>
      </xdr:txBody>
    </xdr:sp>
    <xdr:clientData/>
  </xdr:twoCellAnchor>
  <xdr:twoCellAnchor>
    <xdr:from>
      <xdr:col>1</xdr:col>
      <xdr:colOff>0</xdr:colOff>
      <xdr:row>83</xdr:row>
      <xdr:rowOff>175260</xdr:rowOff>
    </xdr:from>
    <xdr:to>
      <xdr:col>4</xdr:col>
      <xdr:colOff>0</xdr:colOff>
      <xdr:row>86</xdr:row>
      <xdr:rowOff>167640</xdr:rowOff>
    </xdr:to>
    <xdr:sp macro="" textlink="">
      <xdr:nvSpPr>
        <xdr:cNvPr id="12" name="TextBox 11">
          <a:extLst>
            <a:ext uri="{FF2B5EF4-FFF2-40B4-BE49-F238E27FC236}">
              <a16:creationId xmlns:a16="http://schemas.microsoft.com/office/drawing/2014/main" id="{6A69FF77-615A-4873-9BA2-3D42060EFD79}"/>
            </a:ext>
          </a:extLst>
        </xdr:cNvPr>
        <xdr:cNvSpPr txBox="1"/>
      </xdr:nvSpPr>
      <xdr:spPr>
        <a:xfrm>
          <a:off x="1752600" y="15354300"/>
          <a:ext cx="1882140" cy="541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dk1"/>
              </a:solidFill>
              <a:effectLst/>
              <a:latin typeface="+mn-lt"/>
              <a:ea typeface="+mn-ea"/>
              <a:cs typeface="+mn-cs"/>
            </a:rPr>
            <a:t>Parts</a:t>
          </a:r>
          <a:r>
            <a:rPr lang="en-IN" sz="1100" baseline="0">
              <a:solidFill>
                <a:schemeClr val="dk1"/>
              </a:solidFill>
              <a:effectLst/>
              <a:latin typeface="+mn-lt"/>
              <a:ea typeface="+mn-ea"/>
              <a:cs typeface="+mn-cs"/>
            </a:rPr>
            <a:t> produced by each machine</a:t>
          </a:r>
          <a:endParaRPr lang="en-IN">
            <a:effectLst/>
          </a:endParaRPr>
        </a:p>
      </xdr:txBody>
    </xdr:sp>
    <xdr:clientData/>
  </xdr:twoCellAnchor>
  <xdr:twoCellAnchor>
    <xdr:from>
      <xdr:col>10</xdr:col>
      <xdr:colOff>0</xdr:colOff>
      <xdr:row>84</xdr:row>
      <xdr:rowOff>0</xdr:rowOff>
    </xdr:from>
    <xdr:to>
      <xdr:col>13</xdr:col>
      <xdr:colOff>53340</xdr:colOff>
      <xdr:row>87</xdr:row>
      <xdr:rowOff>15240</xdr:rowOff>
    </xdr:to>
    <xdr:sp macro="" textlink="">
      <xdr:nvSpPr>
        <xdr:cNvPr id="13" name="TextBox 12">
          <a:extLst>
            <a:ext uri="{FF2B5EF4-FFF2-40B4-BE49-F238E27FC236}">
              <a16:creationId xmlns:a16="http://schemas.microsoft.com/office/drawing/2014/main" id="{1C5D8196-E8D4-4F89-9C59-8329C221E9EE}"/>
            </a:ext>
          </a:extLst>
        </xdr:cNvPr>
        <xdr:cNvSpPr txBox="1"/>
      </xdr:nvSpPr>
      <xdr:spPr>
        <a:xfrm>
          <a:off x="7292340" y="15361920"/>
          <a:ext cx="1973580" cy="563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Production time in overtime hours</a:t>
          </a:r>
        </a:p>
      </xdr:txBody>
    </xdr:sp>
    <xdr:clientData/>
  </xdr:twoCellAnchor>
  <xdr:twoCellAnchor>
    <xdr:from>
      <xdr:col>1</xdr:col>
      <xdr:colOff>0</xdr:colOff>
      <xdr:row>100</xdr:row>
      <xdr:rowOff>175260</xdr:rowOff>
    </xdr:from>
    <xdr:to>
      <xdr:col>4</xdr:col>
      <xdr:colOff>0</xdr:colOff>
      <xdr:row>103</xdr:row>
      <xdr:rowOff>167640</xdr:rowOff>
    </xdr:to>
    <xdr:sp macro="" textlink="">
      <xdr:nvSpPr>
        <xdr:cNvPr id="14" name="TextBox 13">
          <a:extLst>
            <a:ext uri="{FF2B5EF4-FFF2-40B4-BE49-F238E27FC236}">
              <a16:creationId xmlns:a16="http://schemas.microsoft.com/office/drawing/2014/main" id="{92C568CA-5E5E-4EFB-944B-5E06AAE82F60}"/>
            </a:ext>
          </a:extLst>
        </xdr:cNvPr>
        <xdr:cNvSpPr txBox="1"/>
      </xdr:nvSpPr>
      <xdr:spPr>
        <a:xfrm>
          <a:off x="1752600" y="18463260"/>
          <a:ext cx="1882140" cy="541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dk1"/>
              </a:solidFill>
              <a:effectLst/>
              <a:latin typeface="+mn-lt"/>
              <a:ea typeface="+mn-ea"/>
              <a:cs typeface="+mn-cs"/>
            </a:rPr>
            <a:t>Parts</a:t>
          </a:r>
          <a:r>
            <a:rPr lang="en-IN" sz="1100" baseline="0">
              <a:solidFill>
                <a:schemeClr val="dk1"/>
              </a:solidFill>
              <a:effectLst/>
              <a:latin typeface="+mn-lt"/>
              <a:ea typeface="+mn-ea"/>
              <a:cs typeface="+mn-cs"/>
            </a:rPr>
            <a:t> produced by each machine</a:t>
          </a:r>
          <a:endParaRPr lang="en-IN">
            <a:effectLst/>
          </a:endParaRPr>
        </a:p>
      </xdr:txBody>
    </xdr:sp>
    <xdr:clientData/>
  </xdr:twoCellAnchor>
  <xdr:twoCellAnchor>
    <xdr:from>
      <xdr:col>10</xdr:col>
      <xdr:colOff>0</xdr:colOff>
      <xdr:row>101</xdr:row>
      <xdr:rowOff>0</xdr:rowOff>
    </xdr:from>
    <xdr:to>
      <xdr:col>13</xdr:col>
      <xdr:colOff>53340</xdr:colOff>
      <xdr:row>104</xdr:row>
      <xdr:rowOff>15240</xdr:rowOff>
    </xdr:to>
    <xdr:sp macro="" textlink="">
      <xdr:nvSpPr>
        <xdr:cNvPr id="15" name="TextBox 14">
          <a:extLst>
            <a:ext uri="{FF2B5EF4-FFF2-40B4-BE49-F238E27FC236}">
              <a16:creationId xmlns:a16="http://schemas.microsoft.com/office/drawing/2014/main" id="{FDB5C9A5-917A-4798-8980-D62A2381FCB7}"/>
            </a:ext>
          </a:extLst>
        </xdr:cNvPr>
        <xdr:cNvSpPr txBox="1"/>
      </xdr:nvSpPr>
      <xdr:spPr>
        <a:xfrm>
          <a:off x="7292340" y="18470880"/>
          <a:ext cx="1973580" cy="563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Production time in overtime hours</a:t>
          </a:r>
        </a:p>
      </xdr:txBody>
    </xdr:sp>
    <xdr:clientData/>
  </xdr:twoCellAnchor>
  <xdr:twoCellAnchor>
    <xdr:from>
      <xdr:col>1</xdr:col>
      <xdr:colOff>0</xdr:colOff>
      <xdr:row>116</xdr:row>
      <xdr:rowOff>175260</xdr:rowOff>
    </xdr:from>
    <xdr:to>
      <xdr:col>4</xdr:col>
      <xdr:colOff>0</xdr:colOff>
      <xdr:row>119</xdr:row>
      <xdr:rowOff>167640</xdr:rowOff>
    </xdr:to>
    <xdr:sp macro="" textlink="">
      <xdr:nvSpPr>
        <xdr:cNvPr id="16" name="TextBox 15">
          <a:extLst>
            <a:ext uri="{FF2B5EF4-FFF2-40B4-BE49-F238E27FC236}">
              <a16:creationId xmlns:a16="http://schemas.microsoft.com/office/drawing/2014/main" id="{2226D5F5-21B4-4DAC-B54F-832507950EB0}"/>
            </a:ext>
          </a:extLst>
        </xdr:cNvPr>
        <xdr:cNvSpPr txBox="1"/>
      </xdr:nvSpPr>
      <xdr:spPr>
        <a:xfrm>
          <a:off x="1752600" y="21389340"/>
          <a:ext cx="1882140" cy="541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dk1"/>
              </a:solidFill>
              <a:effectLst/>
              <a:latin typeface="+mn-lt"/>
              <a:ea typeface="+mn-ea"/>
              <a:cs typeface="+mn-cs"/>
            </a:rPr>
            <a:t>Parts</a:t>
          </a:r>
          <a:r>
            <a:rPr lang="en-IN" sz="1100" baseline="0">
              <a:solidFill>
                <a:schemeClr val="dk1"/>
              </a:solidFill>
              <a:effectLst/>
              <a:latin typeface="+mn-lt"/>
              <a:ea typeface="+mn-ea"/>
              <a:cs typeface="+mn-cs"/>
            </a:rPr>
            <a:t> produced by each machine</a:t>
          </a:r>
          <a:endParaRPr lang="en-IN">
            <a:effectLst/>
          </a:endParaRPr>
        </a:p>
      </xdr:txBody>
    </xdr:sp>
    <xdr:clientData/>
  </xdr:twoCellAnchor>
  <xdr:twoCellAnchor>
    <xdr:from>
      <xdr:col>10</xdr:col>
      <xdr:colOff>0</xdr:colOff>
      <xdr:row>117</xdr:row>
      <xdr:rowOff>0</xdr:rowOff>
    </xdr:from>
    <xdr:to>
      <xdr:col>13</xdr:col>
      <xdr:colOff>53340</xdr:colOff>
      <xdr:row>120</xdr:row>
      <xdr:rowOff>15240</xdr:rowOff>
    </xdr:to>
    <xdr:sp macro="" textlink="">
      <xdr:nvSpPr>
        <xdr:cNvPr id="17" name="TextBox 16">
          <a:extLst>
            <a:ext uri="{FF2B5EF4-FFF2-40B4-BE49-F238E27FC236}">
              <a16:creationId xmlns:a16="http://schemas.microsoft.com/office/drawing/2014/main" id="{3DDA21B3-FAE6-43FE-9724-2A7CFA507272}"/>
            </a:ext>
          </a:extLst>
        </xdr:cNvPr>
        <xdr:cNvSpPr txBox="1"/>
      </xdr:nvSpPr>
      <xdr:spPr>
        <a:xfrm>
          <a:off x="7292340" y="21396960"/>
          <a:ext cx="1973580" cy="563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Production time in overtime hours</a:t>
          </a:r>
        </a:p>
      </xdr:txBody>
    </xdr:sp>
    <xdr:clientData/>
  </xdr:twoCellAnchor>
  <xdr:twoCellAnchor>
    <xdr:from>
      <xdr:col>1</xdr:col>
      <xdr:colOff>0</xdr:colOff>
      <xdr:row>132</xdr:row>
      <xdr:rowOff>175260</xdr:rowOff>
    </xdr:from>
    <xdr:to>
      <xdr:col>4</xdr:col>
      <xdr:colOff>0</xdr:colOff>
      <xdr:row>135</xdr:row>
      <xdr:rowOff>167640</xdr:rowOff>
    </xdr:to>
    <xdr:sp macro="" textlink="">
      <xdr:nvSpPr>
        <xdr:cNvPr id="18" name="TextBox 17">
          <a:extLst>
            <a:ext uri="{FF2B5EF4-FFF2-40B4-BE49-F238E27FC236}">
              <a16:creationId xmlns:a16="http://schemas.microsoft.com/office/drawing/2014/main" id="{0A42A250-3ED2-4124-8AB9-BB26109934EB}"/>
            </a:ext>
          </a:extLst>
        </xdr:cNvPr>
        <xdr:cNvSpPr txBox="1"/>
      </xdr:nvSpPr>
      <xdr:spPr>
        <a:xfrm>
          <a:off x="1752600" y="24315420"/>
          <a:ext cx="1882140" cy="541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dk1"/>
              </a:solidFill>
              <a:effectLst/>
              <a:latin typeface="+mn-lt"/>
              <a:ea typeface="+mn-ea"/>
              <a:cs typeface="+mn-cs"/>
            </a:rPr>
            <a:t>Parts</a:t>
          </a:r>
          <a:r>
            <a:rPr lang="en-IN" sz="1100" baseline="0">
              <a:solidFill>
                <a:schemeClr val="dk1"/>
              </a:solidFill>
              <a:effectLst/>
              <a:latin typeface="+mn-lt"/>
              <a:ea typeface="+mn-ea"/>
              <a:cs typeface="+mn-cs"/>
            </a:rPr>
            <a:t> produced by each machine</a:t>
          </a:r>
          <a:endParaRPr lang="en-IN">
            <a:effectLst/>
          </a:endParaRPr>
        </a:p>
      </xdr:txBody>
    </xdr:sp>
    <xdr:clientData/>
  </xdr:twoCellAnchor>
  <xdr:twoCellAnchor>
    <xdr:from>
      <xdr:col>10</xdr:col>
      <xdr:colOff>0</xdr:colOff>
      <xdr:row>133</xdr:row>
      <xdr:rowOff>0</xdr:rowOff>
    </xdr:from>
    <xdr:to>
      <xdr:col>13</xdr:col>
      <xdr:colOff>53340</xdr:colOff>
      <xdr:row>136</xdr:row>
      <xdr:rowOff>15240</xdr:rowOff>
    </xdr:to>
    <xdr:sp macro="" textlink="">
      <xdr:nvSpPr>
        <xdr:cNvPr id="19" name="TextBox 18">
          <a:extLst>
            <a:ext uri="{FF2B5EF4-FFF2-40B4-BE49-F238E27FC236}">
              <a16:creationId xmlns:a16="http://schemas.microsoft.com/office/drawing/2014/main" id="{F4199B6F-1A23-4369-83F6-C5F6E720CDDF}"/>
            </a:ext>
          </a:extLst>
        </xdr:cNvPr>
        <xdr:cNvSpPr txBox="1"/>
      </xdr:nvSpPr>
      <xdr:spPr>
        <a:xfrm>
          <a:off x="7292340" y="24323040"/>
          <a:ext cx="1973580" cy="563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Production time in overtime hours</a:t>
          </a:r>
        </a:p>
      </xdr:txBody>
    </xdr:sp>
    <xdr:clientData/>
  </xdr:twoCellAnchor>
  <xdr:twoCellAnchor>
    <xdr:from>
      <xdr:col>1</xdr:col>
      <xdr:colOff>0</xdr:colOff>
      <xdr:row>149</xdr:row>
      <xdr:rowOff>175260</xdr:rowOff>
    </xdr:from>
    <xdr:to>
      <xdr:col>4</xdr:col>
      <xdr:colOff>0</xdr:colOff>
      <xdr:row>152</xdr:row>
      <xdr:rowOff>167640</xdr:rowOff>
    </xdr:to>
    <xdr:sp macro="" textlink="">
      <xdr:nvSpPr>
        <xdr:cNvPr id="20" name="TextBox 19">
          <a:extLst>
            <a:ext uri="{FF2B5EF4-FFF2-40B4-BE49-F238E27FC236}">
              <a16:creationId xmlns:a16="http://schemas.microsoft.com/office/drawing/2014/main" id="{BF2ECD49-AB33-4D34-9DFE-61B0B43232C3}"/>
            </a:ext>
          </a:extLst>
        </xdr:cNvPr>
        <xdr:cNvSpPr txBox="1"/>
      </xdr:nvSpPr>
      <xdr:spPr>
        <a:xfrm>
          <a:off x="1752600" y="27424380"/>
          <a:ext cx="1882140" cy="541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dk1"/>
              </a:solidFill>
              <a:effectLst/>
              <a:latin typeface="+mn-lt"/>
              <a:ea typeface="+mn-ea"/>
              <a:cs typeface="+mn-cs"/>
            </a:rPr>
            <a:t>Parts</a:t>
          </a:r>
          <a:r>
            <a:rPr lang="en-IN" sz="1100" baseline="0">
              <a:solidFill>
                <a:schemeClr val="dk1"/>
              </a:solidFill>
              <a:effectLst/>
              <a:latin typeface="+mn-lt"/>
              <a:ea typeface="+mn-ea"/>
              <a:cs typeface="+mn-cs"/>
            </a:rPr>
            <a:t> produced by each machine</a:t>
          </a:r>
          <a:endParaRPr lang="en-IN">
            <a:effectLst/>
          </a:endParaRPr>
        </a:p>
      </xdr:txBody>
    </xdr:sp>
    <xdr:clientData/>
  </xdr:twoCellAnchor>
  <xdr:twoCellAnchor>
    <xdr:from>
      <xdr:col>10</xdr:col>
      <xdr:colOff>0</xdr:colOff>
      <xdr:row>150</xdr:row>
      <xdr:rowOff>0</xdr:rowOff>
    </xdr:from>
    <xdr:to>
      <xdr:col>13</xdr:col>
      <xdr:colOff>53340</xdr:colOff>
      <xdr:row>153</xdr:row>
      <xdr:rowOff>15240</xdr:rowOff>
    </xdr:to>
    <xdr:sp macro="" textlink="">
      <xdr:nvSpPr>
        <xdr:cNvPr id="21" name="TextBox 20">
          <a:extLst>
            <a:ext uri="{FF2B5EF4-FFF2-40B4-BE49-F238E27FC236}">
              <a16:creationId xmlns:a16="http://schemas.microsoft.com/office/drawing/2014/main" id="{0A7877B5-4249-4E77-8C78-8E6A6DB1B763}"/>
            </a:ext>
          </a:extLst>
        </xdr:cNvPr>
        <xdr:cNvSpPr txBox="1"/>
      </xdr:nvSpPr>
      <xdr:spPr>
        <a:xfrm>
          <a:off x="7292340" y="27432000"/>
          <a:ext cx="1973580" cy="563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Production time in overtime hours</a:t>
          </a:r>
        </a:p>
      </xdr:txBody>
    </xdr:sp>
    <xdr:clientData/>
  </xdr:twoCellAnchor>
  <xdr:twoCellAnchor>
    <xdr:from>
      <xdr:col>1</xdr:col>
      <xdr:colOff>0</xdr:colOff>
      <xdr:row>164</xdr:row>
      <xdr:rowOff>175260</xdr:rowOff>
    </xdr:from>
    <xdr:to>
      <xdr:col>4</xdr:col>
      <xdr:colOff>0</xdr:colOff>
      <xdr:row>167</xdr:row>
      <xdr:rowOff>167640</xdr:rowOff>
    </xdr:to>
    <xdr:sp macro="" textlink="">
      <xdr:nvSpPr>
        <xdr:cNvPr id="22" name="TextBox 21">
          <a:extLst>
            <a:ext uri="{FF2B5EF4-FFF2-40B4-BE49-F238E27FC236}">
              <a16:creationId xmlns:a16="http://schemas.microsoft.com/office/drawing/2014/main" id="{0595D356-F6C2-44F8-9F22-C26CEAF720DD}"/>
            </a:ext>
          </a:extLst>
        </xdr:cNvPr>
        <xdr:cNvSpPr txBox="1"/>
      </xdr:nvSpPr>
      <xdr:spPr>
        <a:xfrm>
          <a:off x="1752600" y="30167580"/>
          <a:ext cx="1882140" cy="541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dk1"/>
              </a:solidFill>
              <a:effectLst/>
              <a:latin typeface="+mn-lt"/>
              <a:ea typeface="+mn-ea"/>
              <a:cs typeface="+mn-cs"/>
            </a:rPr>
            <a:t>Parts</a:t>
          </a:r>
          <a:r>
            <a:rPr lang="en-IN" sz="1100" baseline="0">
              <a:solidFill>
                <a:schemeClr val="dk1"/>
              </a:solidFill>
              <a:effectLst/>
              <a:latin typeface="+mn-lt"/>
              <a:ea typeface="+mn-ea"/>
              <a:cs typeface="+mn-cs"/>
            </a:rPr>
            <a:t> produced by each machine</a:t>
          </a:r>
          <a:endParaRPr lang="en-IN">
            <a:effectLst/>
          </a:endParaRPr>
        </a:p>
      </xdr:txBody>
    </xdr:sp>
    <xdr:clientData/>
  </xdr:twoCellAnchor>
  <xdr:twoCellAnchor>
    <xdr:from>
      <xdr:col>10</xdr:col>
      <xdr:colOff>0</xdr:colOff>
      <xdr:row>165</xdr:row>
      <xdr:rowOff>0</xdr:rowOff>
    </xdr:from>
    <xdr:to>
      <xdr:col>13</xdr:col>
      <xdr:colOff>53340</xdr:colOff>
      <xdr:row>168</xdr:row>
      <xdr:rowOff>15240</xdr:rowOff>
    </xdr:to>
    <xdr:sp macro="" textlink="">
      <xdr:nvSpPr>
        <xdr:cNvPr id="23" name="TextBox 22">
          <a:extLst>
            <a:ext uri="{FF2B5EF4-FFF2-40B4-BE49-F238E27FC236}">
              <a16:creationId xmlns:a16="http://schemas.microsoft.com/office/drawing/2014/main" id="{B5154F85-C760-4352-8B7B-AA60883F371B}"/>
            </a:ext>
          </a:extLst>
        </xdr:cNvPr>
        <xdr:cNvSpPr txBox="1"/>
      </xdr:nvSpPr>
      <xdr:spPr>
        <a:xfrm>
          <a:off x="7292340" y="30175200"/>
          <a:ext cx="1973580" cy="563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Production time in overtime hours</a:t>
          </a:r>
        </a:p>
      </xdr:txBody>
    </xdr:sp>
    <xdr:clientData/>
  </xdr:twoCellAnchor>
  <xdr:twoCellAnchor>
    <xdr:from>
      <xdr:col>1</xdr:col>
      <xdr:colOff>0</xdr:colOff>
      <xdr:row>181</xdr:row>
      <xdr:rowOff>175260</xdr:rowOff>
    </xdr:from>
    <xdr:to>
      <xdr:col>4</xdr:col>
      <xdr:colOff>0</xdr:colOff>
      <xdr:row>184</xdr:row>
      <xdr:rowOff>167640</xdr:rowOff>
    </xdr:to>
    <xdr:sp macro="" textlink="">
      <xdr:nvSpPr>
        <xdr:cNvPr id="24" name="TextBox 23">
          <a:extLst>
            <a:ext uri="{FF2B5EF4-FFF2-40B4-BE49-F238E27FC236}">
              <a16:creationId xmlns:a16="http://schemas.microsoft.com/office/drawing/2014/main" id="{BF47458D-94F3-4EC8-BC87-E83804107494}"/>
            </a:ext>
          </a:extLst>
        </xdr:cNvPr>
        <xdr:cNvSpPr txBox="1"/>
      </xdr:nvSpPr>
      <xdr:spPr>
        <a:xfrm>
          <a:off x="1752600" y="33276540"/>
          <a:ext cx="1882140" cy="541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dk1"/>
              </a:solidFill>
              <a:effectLst/>
              <a:latin typeface="+mn-lt"/>
              <a:ea typeface="+mn-ea"/>
              <a:cs typeface="+mn-cs"/>
            </a:rPr>
            <a:t>Parts</a:t>
          </a:r>
          <a:r>
            <a:rPr lang="en-IN" sz="1100" baseline="0">
              <a:solidFill>
                <a:schemeClr val="dk1"/>
              </a:solidFill>
              <a:effectLst/>
              <a:latin typeface="+mn-lt"/>
              <a:ea typeface="+mn-ea"/>
              <a:cs typeface="+mn-cs"/>
            </a:rPr>
            <a:t> produced by each machine</a:t>
          </a:r>
          <a:endParaRPr lang="en-IN">
            <a:effectLst/>
          </a:endParaRPr>
        </a:p>
      </xdr:txBody>
    </xdr:sp>
    <xdr:clientData/>
  </xdr:twoCellAnchor>
  <xdr:twoCellAnchor>
    <xdr:from>
      <xdr:col>10</xdr:col>
      <xdr:colOff>0</xdr:colOff>
      <xdr:row>182</xdr:row>
      <xdr:rowOff>0</xdr:rowOff>
    </xdr:from>
    <xdr:to>
      <xdr:col>13</xdr:col>
      <xdr:colOff>53340</xdr:colOff>
      <xdr:row>185</xdr:row>
      <xdr:rowOff>15240</xdr:rowOff>
    </xdr:to>
    <xdr:sp macro="" textlink="">
      <xdr:nvSpPr>
        <xdr:cNvPr id="25" name="TextBox 24">
          <a:extLst>
            <a:ext uri="{FF2B5EF4-FFF2-40B4-BE49-F238E27FC236}">
              <a16:creationId xmlns:a16="http://schemas.microsoft.com/office/drawing/2014/main" id="{BBA79706-9042-46D4-85C0-4F1918E9A282}"/>
            </a:ext>
          </a:extLst>
        </xdr:cNvPr>
        <xdr:cNvSpPr txBox="1"/>
      </xdr:nvSpPr>
      <xdr:spPr>
        <a:xfrm>
          <a:off x="7292340" y="33284160"/>
          <a:ext cx="1973580" cy="563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Production time in overtime hours</a:t>
          </a:r>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8"/>
  <sheetViews>
    <sheetView topLeftCell="D15" zoomScaleNormal="100" workbookViewId="0">
      <selection activeCell="R21" sqref="R21"/>
    </sheetView>
  </sheetViews>
  <sheetFormatPr defaultColWidth="14.453125" defaultRowHeight="15" customHeight="1" x14ac:dyDescent="0.35"/>
  <cols>
    <col min="1" max="7" width="8.6328125" customWidth="1"/>
    <col min="8" max="8" width="12.1796875" customWidth="1"/>
    <col min="9" max="9" width="10.1796875" customWidth="1"/>
    <col min="10" max="14" width="8.6328125" customWidth="1"/>
    <col min="15" max="15" width="33.54296875" customWidth="1"/>
    <col min="16" max="16" width="8.6328125" customWidth="1"/>
    <col min="17" max="17" width="11.453125" customWidth="1"/>
    <col min="18" max="18" width="15" customWidth="1"/>
    <col min="19" max="26" width="8.6328125" customWidth="1"/>
  </cols>
  <sheetData>
    <row r="1" spans="1:22" ht="14.25" customHeight="1" x14ac:dyDescent="0.35"/>
    <row r="2" spans="1:22" ht="14.25" customHeight="1" x14ac:dyDescent="0.35">
      <c r="A2" s="17" t="s">
        <v>0</v>
      </c>
      <c r="B2" s="18"/>
      <c r="C2" s="18"/>
      <c r="D2" s="18"/>
      <c r="E2" s="18"/>
      <c r="F2" s="19"/>
      <c r="I2" s="17" t="s">
        <v>1</v>
      </c>
      <c r="J2" s="29"/>
      <c r="K2" s="29"/>
      <c r="L2" s="29"/>
      <c r="M2" s="29"/>
      <c r="N2" s="30"/>
      <c r="Q2" s="17" t="s">
        <v>2</v>
      </c>
      <c r="R2" s="18"/>
      <c r="S2" s="18"/>
      <c r="T2" s="18"/>
      <c r="U2" s="18"/>
      <c r="V2" s="19"/>
    </row>
    <row r="3" spans="1:22" ht="14.25" customHeight="1" x14ac:dyDescent="0.35">
      <c r="A3" s="1" t="s">
        <v>14</v>
      </c>
      <c r="B3" s="1" t="s">
        <v>15</v>
      </c>
      <c r="C3" s="1" t="s">
        <v>7</v>
      </c>
      <c r="D3" s="1" t="s">
        <v>11</v>
      </c>
      <c r="E3" s="1" t="s">
        <v>13</v>
      </c>
      <c r="F3" s="1" t="s">
        <v>16</v>
      </c>
      <c r="I3" s="1"/>
      <c r="J3" s="1" t="s">
        <v>6</v>
      </c>
      <c r="K3" s="1" t="s">
        <v>7</v>
      </c>
      <c r="L3" s="1" t="s">
        <v>11</v>
      </c>
      <c r="M3" s="1" t="s">
        <v>13</v>
      </c>
      <c r="N3" s="1" t="s">
        <v>8</v>
      </c>
      <c r="Q3" s="1"/>
      <c r="R3" s="1" t="s">
        <v>6</v>
      </c>
      <c r="S3" s="1" t="s">
        <v>7</v>
      </c>
      <c r="T3" s="1" t="s">
        <v>11</v>
      </c>
      <c r="U3" s="1" t="s">
        <v>13</v>
      </c>
      <c r="V3" s="1" t="s">
        <v>8</v>
      </c>
    </row>
    <row r="4" spans="1:22" ht="14.25" customHeight="1" x14ac:dyDescent="0.35">
      <c r="A4" s="1">
        <v>1</v>
      </c>
      <c r="B4" s="1">
        <v>3500</v>
      </c>
      <c r="C4" s="1">
        <v>3000</v>
      </c>
      <c r="D4" s="1">
        <v>4000</v>
      </c>
      <c r="E4" s="1">
        <v>4000</v>
      </c>
      <c r="F4" s="1">
        <v>2800</v>
      </c>
      <c r="I4" s="1" t="s">
        <v>17</v>
      </c>
      <c r="J4" s="1">
        <v>40</v>
      </c>
      <c r="K4" s="1">
        <v>0</v>
      </c>
      <c r="L4" s="1">
        <v>0</v>
      </c>
      <c r="M4" s="1">
        <v>60</v>
      </c>
      <c r="N4" s="1">
        <v>0</v>
      </c>
      <c r="Q4" s="1" t="s">
        <v>22</v>
      </c>
      <c r="R4" s="1">
        <v>8</v>
      </c>
      <c r="S4" s="1">
        <v>0</v>
      </c>
      <c r="T4" s="1">
        <v>0</v>
      </c>
      <c r="U4" s="1">
        <v>8</v>
      </c>
      <c r="V4" s="1">
        <v>0</v>
      </c>
    </row>
    <row r="5" spans="1:22" ht="14.25" customHeight="1" x14ac:dyDescent="0.35">
      <c r="A5" s="1">
        <v>2</v>
      </c>
      <c r="B5" s="1">
        <v>3000</v>
      </c>
      <c r="C5" s="1">
        <v>2800</v>
      </c>
      <c r="D5" s="1">
        <v>4000</v>
      </c>
      <c r="E5" s="1">
        <v>4300</v>
      </c>
      <c r="F5" s="1">
        <v>2800</v>
      </c>
      <c r="I5" s="1" t="s">
        <v>18</v>
      </c>
      <c r="J5" s="1">
        <v>35</v>
      </c>
      <c r="K5" s="1">
        <v>25</v>
      </c>
      <c r="L5" s="1">
        <v>0</v>
      </c>
      <c r="M5" s="1">
        <v>0</v>
      </c>
      <c r="N5" s="1">
        <v>0</v>
      </c>
      <c r="Q5" s="1" t="s">
        <v>18</v>
      </c>
      <c r="R5" s="1">
        <v>10</v>
      </c>
      <c r="S5" s="1">
        <v>8</v>
      </c>
      <c r="T5" s="1">
        <v>0</v>
      </c>
      <c r="U5" s="1">
        <v>0</v>
      </c>
      <c r="V5" s="1">
        <v>0</v>
      </c>
    </row>
    <row r="6" spans="1:22" ht="14.25" customHeight="1" x14ac:dyDescent="0.35">
      <c r="A6" s="1">
        <v>3</v>
      </c>
      <c r="B6" s="1">
        <v>3000</v>
      </c>
      <c r="C6" s="1">
        <v>2000</v>
      </c>
      <c r="D6" s="1">
        <v>4000</v>
      </c>
      <c r="E6" s="1">
        <v>3500</v>
      </c>
      <c r="F6" s="1">
        <v>3000</v>
      </c>
      <c r="I6" s="1" t="s">
        <v>19</v>
      </c>
      <c r="J6" s="1">
        <v>0</v>
      </c>
      <c r="K6" s="1">
        <v>30</v>
      </c>
      <c r="L6" s="1">
        <v>0</v>
      </c>
      <c r="M6" s="1">
        <v>0</v>
      </c>
      <c r="N6" s="1">
        <v>45</v>
      </c>
      <c r="Q6" s="1" t="s">
        <v>19</v>
      </c>
      <c r="R6" s="1">
        <v>0</v>
      </c>
      <c r="S6" s="1">
        <v>10</v>
      </c>
      <c r="T6" s="1">
        <v>0</v>
      </c>
      <c r="U6" s="1">
        <v>0</v>
      </c>
      <c r="V6" s="1">
        <v>24</v>
      </c>
    </row>
    <row r="7" spans="1:22" ht="14.25" customHeight="1" x14ac:dyDescent="0.35">
      <c r="A7" s="1">
        <v>4</v>
      </c>
      <c r="B7" s="1">
        <v>3000</v>
      </c>
      <c r="C7" s="1">
        <v>3000</v>
      </c>
      <c r="D7" s="1">
        <v>4000</v>
      </c>
      <c r="E7" s="1">
        <v>3800</v>
      </c>
      <c r="F7" s="1">
        <v>2800</v>
      </c>
      <c r="I7" s="1" t="s">
        <v>20</v>
      </c>
      <c r="J7" s="1">
        <v>0</v>
      </c>
      <c r="K7" s="1">
        <v>35</v>
      </c>
      <c r="L7" s="1">
        <v>50</v>
      </c>
      <c r="M7" s="1">
        <v>0</v>
      </c>
      <c r="N7" s="1">
        <v>0</v>
      </c>
      <c r="Q7" s="1" t="s">
        <v>20</v>
      </c>
      <c r="R7" s="1">
        <v>0</v>
      </c>
      <c r="S7" s="1">
        <v>8</v>
      </c>
      <c r="T7" s="1">
        <v>12</v>
      </c>
      <c r="U7" s="1">
        <v>0</v>
      </c>
      <c r="V7" s="1">
        <v>0</v>
      </c>
    </row>
    <row r="8" spans="1:22" ht="14.25" customHeight="1" x14ac:dyDescent="0.35">
      <c r="A8" s="1">
        <v>5</v>
      </c>
      <c r="B8" s="1">
        <v>3000</v>
      </c>
      <c r="C8" s="1">
        <v>3000</v>
      </c>
      <c r="D8" s="1">
        <v>4000</v>
      </c>
      <c r="E8" s="1">
        <v>4000</v>
      </c>
      <c r="F8" s="1">
        <v>2800</v>
      </c>
      <c r="I8" s="1" t="s">
        <v>21</v>
      </c>
      <c r="J8" s="1">
        <v>0</v>
      </c>
      <c r="K8" s="1">
        <v>0</v>
      </c>
      <c r="L8" s="1">
        <v>0</v>
      </c>
      <c r="M8" s="1">
        <v>60</v>
      </c>
      <c r="N8" s="1">
        <v>50</v>
      </c>
      <c r="Q8" s="1" t="s">
        <v>21</v>
      </c>
      <c r="R8" s="1">
        <v>0</v>
      </c>
      <c r="S8" s="1">
        <v>0</v>
      </c>
      <c r="T8" s="1">
        <v>0</v>
      </c>
      <c r="U8" s="1">
        <v>8</v>
      </c>
      <c r="V8" s="1">
        <v>20</v>
      </c>
    </row>
    <row r="9" spans="1:22" ht="14.25" customHeight="1" x14ac:dyDescent="0.35">
      <c r="A9" s="1">
        <v>6</v>
      </c>
      <c r="B9" s="1">
        <v>3500</v>
      </c>
      <c r="C9" s="1">
        <v>2500</v>
      </c>
      <c r="D9" s="1">
        <v>4000</v>
      </c>
      <c r="E9" s="1">
        <v>3800</v>
      </c>
      <c r="F9" s="1">
        <v>2500</v>
      </c>
      <c r="I9" s="1"/>
      <c r="J9" s="1"/>
      <c r="K9" s="1"/>
      <c r="L9" s="1"/>
      <c r="M9" s="1"/>
      <c r="N9" s="1"/>
    </row>
    <row r="10" spans="1:22" ht="14.25" customHeight="1" x14ac:dyDescent="0.35">
      <c r="A10" s="1">
        <v>7</v>
      </c>
      <c r="B10" s="1">
        <v>3500</v>
      </c>
      <c r="C10" s="1">
        <v>2500</v>
      </c>
      <c r="D10" s="1">
        <v>3800</v>
      </c>
      <c r="E10" s="1">
        <v>4000</v>
      </c>
      <c r="F10" s="1">
        <v>2500</v>
      </c>
      <c r="I10" s="1" t="s">
        <v>3</v>
      </c>
      <c r="J10" s="1">
        <v>0.6</v>
      </c>
      <c r="K10" s="1">
        <v>0.55000000000000004</v>
      </c>
      <c r="L10" s="1">
        <v>0.75</v>
      </c>
      <c r="M10" s="1">
        <v>0.65</v>
      </c>
      <c r="N10" s="1">
        <v>0.6</v>
      </c>
    </row>
    <row r="11" spans="1:22" ht="14.25" customHeight="1" x14ac:dyDescent="0.35">
      <c r="A11" s="1">
        <v>8</v>
      </c>
      <c r="B11" s="1">
        <v>3300</v>
      </c>
      <c r="C11" s="1">
        <v>3400</v>
      </c>
      <c r="D11" s="1">
        <v>3700</v>
      </c>
      <c r="E11" s="1">
        <v>4200</v>
      </c>
      <c r="F11" s="1">
        <v>2500</v>
      </c>
    </row>
    <row r="12" spans="1:22" ht="14.25" customHeight="1" x14ac:dyDescent="0.35">
      <c r="A12" s="1">
        <v>9</v>
      </c>
      <c r="B12" s="1">
        <v>3300</v>
      </c>
      <c r="C12" s="1">
        <v>3400</v>
      </c>
      <c r="D12" s="1">
        <v>0</v>
      </c>
      <c r="E12" s="1">
        <v>4500</v>
      </c>
      <c r="F12" s="1">
        <v>3000</v>
      </c>
    </row>
    <row r="13" spans="1:22" ht="14.25" customHeight="1" x14ac:dyDescent="0.35">
      <c r="A13" s="1">
        <v>10</v>
      </c>
      <c r="B13" s="1">
        <v>3200</v>
      </c>
      <c r="C13" s="1">
        <v>3000</v>
      </c>
      <c r="D13" s="1">
        <v>0</v>
      </c>
      <c r="E13" s="1">
        <v>4500</v>
      </c>
      <c r="F13" s="1">
        <v>3000</v>
      </c>
    </row>
    <row r="14" spans="1:22" ht="14.25" customHeight="1" x14ac:dyDescent="0.35">
      <c r="A14" s="1">
        <v>11</v>
      </c>
      <c r="B14" s="1">
        <v>4500</v>
      </c>
      <c r="C14" s="1">
        <v>4000</v>
      </c>
      <c r="D14" s="1">
        <v>5000</v>
      </c>
      <c r="E14" s="1">
        <v>5000</v>
      </c>
      <c r="F14" s="1">
        <v>3800</v>
      </c>
    </row>
    <row r="15" spans="1:22" ht="14.25" customHeight="1" x14ac:dyDescent="0.35">
      <c r="A15" s="1">
        <v>12</v>
      </c>
      <c r="B15" s="1">
        <v>3000</v>
      </c>
      <c r="C15" s="1">
        <v>2800</v>
      </c>
      <c r="D15" s="1">
        <v>4000</v>
      </c>
      <c r="E15" s="1">
        <v>4300</v>
      </c>
      <c r="F15" s="1">
        <v>2800</v>
      </c>
    </row>
    <row r="16" spans="1:22" ht="14.25" customHeight="1" x14ac:dyDescent="0.35"/>
    <row r="17" spans="8:26" ht="43.75" customHeight="1" x14ac:dyDescent="0.35"/>
    <row r="18" spans="8:26" ht="43.75" customHeight="1" x14ac:dyDescent="0.35">
      <c r="I18" s="17" t="s">
        <v>5</v>
      </c>
      <c r="J18" s="18"/>
      <c r="K18" s="18"/>
      <c r="L18" s="18"/>
      <c r="M18" s="18"/>
      <c r="N18" s="19"/>
      <c r="Q18" s="10" t="s">
        <v>4</v>
      </c>
      <c r="R18" s="10"/>
      <c r="S18" s="10"/>
      <c r="T18" s="10"/>
      <c r="U18" s="10"/>
      <c r="V18" s="10"/>
      <c r="W18" s="10" t="s">
        <v>12</v>
      </c>
      <c r="X18" s="10" t="s">
        <v>24</v>
      </c>
      <c r="Y18" s="10" t="s">
        <v>25</v>
      </c>
      <c r="Z18" s="20" t="s">
        <v>33</v>
      </c>
    </row>
    <row r="19" spans="8:26" ht="14.25" customHeight="1" x14ac:dyDescent="0.35">
      <c r="I19" s="1"/>
      <c r="J19" s="1" t="s">
        <v>23</v>
      </c>
      <c r="K19" s="1" t="s">
        <v>7</v>
      </c>
      <c r="L19" s="1" t="s">
        <v>11</v>
      </c>
      <c r="M19" s="1" t="s">
        <v>13</v>
      </c>
      <c r="N19" s="1" t="s">
        <v>8</v>
      </c>
      <c r="Q19" s="4"/>
      <c r="R19" s="4" t="s">
        <v>6</v>
      </c>
      <c r="S19" s="4" t="s">
        <v>7</v>
      </c>
      <c r="T19" s="4" t="s">
        <v>11</v>
      </c>
      <c r="U19" s="4" t="s">
        <v>13</v>
      </c>
      <c r="V19" s="4" t="s">
        <v>8</v>
      </c>
      <c r="W19" s="10"/>
      <c r="X19" s="10"/>
      <c r="Y19" s="10"/>
      <c r="Z19" s="20"/>
    </row>
    <row r="20" spans="8:26" ht="14.25" customHeight="1" x14ac:dyDescent="0.35">
      <c r="I20" s="1" t="s">
        <v>17</v>
      </c>
      <c r="J20" s="1">
        <v>24</v>
      </c>
      <c r="K20" s="1">
        <v>0</v>
      </c>
      <c r="L20" s="1">
        <v>0</v>
      </c>
      <c r="M20" s="1">
        <v>39</v>
      </c>
      <c r="N20" s="1">
        <v>0</v>
      </c>
      <c r="Q20" s="11" t="s">
        <v>17</v>
      </c>
      <c r="R20" s="4">
        <v>82</v>
      </c>
      <c r="S20" s="4">
        <v>0</v>
      </c>
      <c r="T20" s="4">
        <v>0</v>
      </c>
      <c r="U20" s="4">
        <v>57</v>
      </c>
      <c r="V20" s="4">
        <v>0</v>
      </c>
      <c r="W20" s="4">
        <f>SUM(R20:V20)</f>
        <v>139</v>
      </c>
      <c r="X20" s="4">
        <v>104</v>
      </c>
      <c r="Y20" s="4">
        <v>152</v>
      </c>
      <c r="Z20" s="4">
        <v>35</v>
      </c>
    </row>
    <row r="21" spans="8:26" ht="14.25" customHeight="1" x14ac:dyDescent="0.35">
      <c r="I21" s="1" t="s">
        <v>18</v>
      </c>
      <c r="J21" s="1">
        <v>21</v>
      </c>
      <c r="K21" s="1">
        <v>13.75</v>
      </c>
      <c r="L21" s="1">
        <v>0</v>
      </c>
      <c r="M21" s="1">
        <v>0</v>
      </c>
      <c r="N21" s="1">
        <v>0</v>
      </c>
      <c r="Q21" s="11" t="s">
        <v>18</v>
      </c>
      <c r="R21" s="4">
        <v>73</v>
      </c>
      <c r="S21" s="4">
        <v>72</v>
      </c>
      <c r="T21" s="4">
        <v>0</v>
      </c>
      <c r="U21" s="4">
        <v>0</v>
      </c>
      <c r="V21" s="4">
        <v>0</v>
      </c>
      <c r="W21" s="4">
        <f t="shared" ref="W21:W24" si="0">SUM(R21:V21)</f>
        <v>145</v>
      </c>
      <c r="X21" s="4">
        <v>102</v>
      </c>
      <c r="Y21" s="4">
        <v>150</v>
      </c>
      <c r="Z21" s="4">
        <v>43</v>
      </c>
    </row>
    <row r="22" spans="8:26" ht="14.25" customHeight="1" x14ac:dyDescent="0.35">
      <c r="I22" s="1" t="s">
        <v>19</v>
      </c>
      <c r="J22" s="1">
        <v>0</v>
      </c>
      <c r="K22" s="1">
        <v>16.5</v>
      </c>
      <c r="L22" s="1">
        <v>0</v>
      </c>
      <c r="M22" s="1">
        <v>0</v>
      </c>
      <c r="N22" s="1">
        <v>27</v>
      </c>
      <c r="Q22" s="11" t="s">
        <v>19</v>
      </c>
      <c r="R22" s="4">
        <v>0</v>
      </c>
      <c r="S22" s="4">
        <v>76</v>
      </c>
      <c r="T22" s="4">
        <v>0</v>
      </c>
      <c r="U22" s="4">
        <v>0</v>
      </c>
      <c r="V22" s="4">
        <v>31</v>
      </c>
      <c r="W22" s="4">
        <f t="shared" si="0"/>
        <v>107</v>
      </c>
      <c r="X22" s="4">
        <v>86</v>
      </c>
      <c r="Y22" s="4">
        <v>134</v>
      </c>
      <c r="Z22" s="4">
        <v>21</v>
      </c>
    </row>
    <row r="23" spans="8:26" ht="14.25" customHeight="1" x14ac:dyDescent="0.35">
      <c r="I23" s="1" t="s">
        <v>20</v>
      </c>
      <c r="J23" s="1">
        <v>0</v>
      </c>
      <c r="K23" s="1">
        <v>19.25</v>
      </c>
      <c r="L23" s="1">
        <v>37.5</v>
      </c>
      <c r="M23" s="1">
        <v>0</v>
      </c>
      <c r="N23" s="1">
        <v>0</v>
      </c>
      <c r="Q23" s="11" t="s">
        <v>20</v>
      </c>
      <c r="R23" s="4">
        <v>0</v>
      </c>
      <c r="S23" s="4">
        <v>40</v>
      </c>
      <c r="T23" s="4">
        <v>108</v>
      </c>
      <c r="U23" s="4">
        <v>0</v>
      </c>
      <c r="V23" s="4">
        <v>0</v>
      </c>
      <c r="W23" s="4">
        <f t="shared" si="0"/>
        <v>148</v>
      </c>
      <c r="X23" s="4">
        <v>100</v>
      </c>
      <c r="Y23" s="4">
        <v>148</v>
      </c>
      <c r="Z23" s="4">
        <v>48</v>
      </c>
    </row>
    <row r="24" spans="8:26" ht="14.25" customHeight="1" x14ac:dyDescent="0.35">
      <c r="I24" s="1" t="s">
        <v>21</v>
      </c>
      <c r="J24" s="1">
        <v>0</v>
      </c>
      <c r="K24" s="1">
        <v>0</v>
      </c>
      <c r="L24" s="1">
        <v>0</v>
      </c>
      <c r="M24" s="1">
        <v>39</v>
      </c>
      <c r="N24" s="1">
        <v>30</v>
      </c>
      <c r="Q24" s="11" t="s">
        <v>21</v>
      </c>
      <c r="R24" s="4">
        <v>0</v>
      </c>
      <c r="S24" s="4">
        <v>0</v>
      </c>
      <c r="T24" s="4">
        <v>0</v>
      </c>
      <c r="U24" s="4">
        <v>46</v>
      </c>
      <c r="V24" s="4">
        <v>66</v>
      </c>
      <c r="W24" s="4">
        <f t="shared" si="0"/>
        <v>112</v>
      </c>
      <c r="X24" s="4">
        <v>92</v>
      </c>
      <c r="Y24" s="4">
        <v>140</v>
      </c>
      <c r="Z24" s="4">
        <v>28</v>
      </c>
    </row>
    <row r="25" spans="8:26" ht="14.25" customHeight="1" x14ac:dyDescent="0.35"/>
    <row r="26" spans="8:26" ht="14.25" customHeight="1" x14ac:dyDescent="0.35">
      <c r="X26" s="13" t="s">
        <v>36</v>
      </c>
    </row>
    <row r="27" spans="8:26" ht="14.25" customHeight="1" thickBot="1" x14ac:dyDescent="0.4">
      <c r="X27" s="13" t="s">
        <v>34</v>
      </c>
    </row>
    <row r="28" spans="8:26" ht="14.25" customHeight="1" x14ac:dyDescent="0.35">
      <c r="H28" s="23" t="s">
        <v>9</v>
      </c>
      <c r="I28" s="24"/>
      <c r="J28" s="24"/>
      <c r="K28" s="24"/>
      <c r="L28" s="24"/>
      <c r="M28" s="25"/>
      <c r="X28" s="13" t="s">
        <v>37</v>
      </c>
    </row>
    <row r="29" spans="8:26" ht="14.25" customHeight="1" thickBot="1" x14ac:dyDescent="0.4">
      <c r="H29" s="26"/>
      <c r="I29" s="27"/>
      <c r="J29" s="27"/>
      <c r="K29" s="27"/>
      <c r="L29" s="27"/>
      <c r="M29" s="28"/>
      <c r="X29" s="13" t="s">
        <v>32</v>
      </c>
    </row>
    <row r="30" spans="8:26" ht="14.25" customHeight="1" thickBot="1" x14ac:dyDescent="0.4">
      <c r="H30" s="5"/>
      <c r="I30" s="6" t="s">
        <v>10</v>
      </c>
      <c r="J30" s="6" t="s">
        <v>7</v>
      </c>
      <c r="K30" s="6" t="s">
        <v>11</v>
      </c>
      <c r="L30" s="6" t="s">
        <v>13</v>
      </c>
      <c r="M30" s="6" t="s">
        <v>8</v>
      </c>
      <c r="R30" s="9"/>
      <c r="S30" s="3"/>
      <c r="T30" s="3"/>
      <c r="U30" s="3"/>
      <c r="X30" s="13" t="s">
        <v>35</v>
      </c>
    </row>
    <row r="31" spans="8:26" ht="14.25" customHeight="1" thickBot="1" x14ac:dyDescent="0.4">
      <c r="H31" s="5" t="s">
        <v>26</v>
      </c>
      <c r="I31" s="6">
        <f>J20*R20</f>
        <v>1968</v>
      </c>
      <c r="J31" s="6">
        <f t="shared" ref="I31:M35" si="1">K20*S20</f>
        <v>0</v>
      </c>
      <c r="K31" s="6">
        <f t="shared" si="1"/>
        <v>0</v>
      </c>
      <c r="L31" s="6">
        <f t="shared" si="1"/>
        <v>2223</v>
      </c>
      <c r="M31" s="6">
        <f t="shared" si="1"/>
        <v>0</v>
      </c>
      <c r="O31" s="12"/>
      <c r="Q31" s="12"/>
      <c r="R31" s="12"/>
      <c r="S31" s="3"/>
      <c r="T31" s="3"/>
      <c r="U31" s="3"/>
    </row>
    <row r="32" spans="8:26" ht="14.25" customHeight="1" thickBot="1" x14ac:dyDescent="0.4">
      <c r="H32" s="5" t="s">
        <v>27</v>
      </c>
      <c r="I32" s="6">
        <f t="shared" si="1"/>
        <v>1533</v>
      </c>
      <c r="J32" s="6">
        <f t="shared" si="1"/>
        <v>990</v>
      </c>
      <c r="K32" s="6">
        <f t="shared" si="1"/>
        <v>0</v>
      </c>
      <c r="L32" s="6">
        <f t="shared" si="1"/>
        <v>0</v>
      </c>
      <c r="M32" s="6">
        <f t="shared" si="1"/>
        <v>0</v>
      </c>
      <c r="O32" s="12"/>
      <c r="Q32" s="12"/>
      <c r="R32" s="12"/>
      <c r="S32" s="3"/>
      <c r="T32" s="3"/>
      <c r="U32" s="3"/>
    </row>
    <row r="33" spans="8:21" ht="14.25" customHeight="1" thickBot="1" x14ac:dyDescent="0.4">
      <c r="H33" s="5" t="s">
        <v>28</v>
      </c>
      <c r="I33" s="6">
        <f t="shared" si="1"/>
        <v>0</v>
      </c>
      <c r="J33" s="6">
        <f t="shared" si="1"/>
        <v>1254</v>
      </c>
      <c r="K33" s="6">
        <f t="shared" si="1"/>
        <v>0</v>
      </c>
      <c r="L33" s="6">
        <f t="shared" si="1"/>
        <v>0</v>
      </c>
      <c r="M33" s="6">
        <f t="shared" si="1"/>
        <v>837</v>
      </c>
      <c r="O33" s="12"/>
      <c r="Q33" s="12"/>
      <c r="R33" s="12"/>
      <c r="S33" s="3"/>
      <c r="T33" s="3"/>
      <c r="U33" s="3"/>
    </row>
    <row r="34" spans="8:21" ht="14.25" customHeight="1" thickBot="1" x14ac:dyDescent="0.4">
      <c r="H34" s="5" t="s">
        <v>29</v>
      </c>
      <c r="I34" s="6">
        <f t="shared" si="1"/>
        <v>0</v>
      </c>
      <c r="J34" s="6">
        <f t="shared" si="1"/>
        <v>770</v>
      </c>
      <c r="K34" s="6">
        <f t="shared" si="1"/>
        <v>4050</v>
      </c>
      <c r="L34" s="6">
        <f t="shared" si="1"/>
        <v>0</v>
      </c>
      <c r="M34" s="6">
        <f t="shared" si="1"/>
        <v>0</v>
      </c>
      <c r="O34" s="12"/>
      <c r="Q34" s="12"/>
      <c r="R34" s="12"/>
      <c r="S34" s="3"/>
      <c r="T34" s="3"/>
      <c r="U34" s="3"/>
    </row>
    <row r="35" spans="8:21" ht="14.25" customHeight="1" thickBot="1" x14ac:dyDescent="0.4">
      <c r="H35" s="5" t="s">
        <v>30</v>
      </c>
      <c r="I35" s="6">
        <f t="shared" si="1"/>
        <v>0</v>
      </c>
      <c r="J35" s="6">
        <f t="shared" si="1"/>
        <v>0</v>
      </c>
      <c r="K35" s="6">
        <f t="shared" si="1"/>
        <v>0</v>
      </c>
      <c r="L35" s="6">
        <f t="shared" si="1"/>
        <v>1794</v>
      </c>
      <c r="M35" s="6">
        <f t="shared" si="1"/>
        <v>1980</v>
      </c>
      <c r="O35" s="12"/>
      <c r="Q35" s="12"/>
      <c r="R35" s="12"/>
    </row>
    <row r="36" spans="8:21" ht="14.25" customHeight="1" thickBot="1" x14ac:dyDescent="0.4">
      <c r="H36" s="7" t="s">
        <v>12</v>
      </c>
      <c r="I36" s="8">
        <f>SUM(I31:I35)</f>
        <v>3501</v>
      </c>
      <c r="J36" s="8">
        <f t="shared" ref="J36:M36" si="2">SUM(J31:J35)</f>
        <v>3014</v>
      </c>
      <c r="K36" s="8">
        <f t="shared" si="2"/>
        <v>4050</v>
      </c>
      <c r="L36" s="8">
        <f t="shared" si="2"/>
        <v>4017</v>
      </c>
      <c r="M36" s="8">
        <f t="shared" si="2"/>
        <v>2817</v>
      </c>
    </row>
    <row r="37" spans="8:21" ht="14.25" customHeight="1" x14ac:dyDescent="0.35">
      <c r="H37" s="2"/>
      <c r="I37" s="2"/>
      <c r="J37" s="2"/>
      <c r="K37" s="2"/>
      <c r="L37" s="2"/>
      <c r="M37" s="2"/>
    </row>
    <row r="38" spans="8:21" ht="15" customHeight="1" x14ac:dyDescent="0.35">
      <c r="H38" s="21" t="s">
        <v>31</v>
      </c>
      <c r="I38" s="4">
        <v>3500</v>
      </c>
      <c r="J38" s="4">
        <v>3000</v>
      </c>
      <c r="K38" s="4">
        <v>4000</v>
      </c>
      <c r="L38" s="4">
        <v>4000</v>
      </c>
      <c r="M38" s="4">
        <v>2800</v>
      </c>
    </row>
    <row r="39" spans="8:21" ht="14.25" customHeight="1" x14ac:dyDescent="0.35">
      <c r="H39" s="22"/>
      <c r="I39" s="4"/>
      <c r="J39" s="4"/>
      <c r="K39" s="4"/>
      <c r="L39" s="4"/>
      <c r="M39" s="4"/>
    </row>
    <row r="40" spans="8:21" ht="14.25" customHeight="1" x14ac:dyDescent="0.35"/>
    <row r="41" spans="8:21" ht="14.25" customHeight="1" x14ac:dyDescent="0.35"/>
    <row r="42" spans="8:21" ht="14.25" customHeight="1" x14ac:dyDescent="0.35"/>
    <row r="43" spans="8:21" ht="14.25" customHeight="1" x14ac:dyDescent="0.35"/>
    <row r="44" spans="8:21" ht="14.25" customHeight="1" x14ac:dyDescent="0.35"/>
    <row r="45" spans="8:21" ht="14.25" customHeight="1" x14ac:dyDescent="0.35"/>
    <row r="46" spans="8:21" ht="14.25" customHeight="1" x14ac:dyDescent="0.35"/>
    <row r="47" spans="8:21" ht="14.25" customHeight="1" x14ac:dyDescent="0.35"/>
    <row r="48" spans="8:21"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sheetData>
  <mergeCells count="7">
    <mergeCell ref="Q2:V2"/>
    <mergeCell ref="Z18:Z19"/>
    <mergeCell ref="H38:H39"/>
    <mergeCell ref="H28:M29"/>
    <mergeCell ref="A2:F2"/>
    <mergeCell ref="I2:N2"/>
    <mergeCell ref="I18:N18"/>
  </mergeCells>
  <pageMargins left="0.7" right="0.7" top="0.75" bottom="0.75" header="0" footer="0"/>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3A744-AFA4-427E-8ECE-C4FA32ABCC97}">
  <dimension ref="A1:Q208"/>
  <sheetViews>
    <sheetView topLeftCell="A174" workbookViewId="0">
      <selection activeCell="M173" sqref="M173"/>
    </sheetView>
  </sheetViews>
  <sheetFormatPr defaultRowHeight="14.5" x14ac:dyDescent="0.35"/>
  <cols>
    <col min="1" max="1" width="25.54296875" customWidth="1"/>
    <col min="2" max="2" width="9.6328125" customWidth="1"/>
    <col min="11" max="11" width="10.1796875" customWidth="1"/>
  </cols>
  <sheetData>
    <row r="1" spans="1:17" x14ac:dyDescent="0.35">
      <c r="A1" s="15" t="s">
        <v>40</v>
      </c>
    </row>
    <row r="7" spans="1:17" x14ac:dyDescent="0.35">
      <c r="C7" s="14" t="s">
        <v>6</v>
      </c>
      <c r="D7" s="14" t="s">
        <v>7</v>
      </c>
      <c r="E7" s="14" t="s">
        <v>11</v>
      </c>
      <c r="F7" s="14" t="s">
        <v>13</v>
      </c>
      <c r="G7" s="14" t="s">
        <v>8</v>
      </c>
      <c r="H7" s="14" t="s">
        <v>12</v>
      </c>
      <c r="L7" s="14" t="s">
        <v>6</v>
      </c>
      <c r="M7" s="14" t="s">
        <v>7</v>
      </c>
      <c r="N7" s="14" t="s">
        <v>11</v>
      </c>
      <c r="O7" s="14" t="s">
        <v>13</v>
      </c>
      <c r="P7" s="14" t="s">
        <v>8</v>
      </c>
      <c r="Q7" s="14" t="s">
        <v>12</v>
      </c>
    </row>
    <row r="8" spans="1:17" x14ac:dyDescent="0.35">
      <c r="B8" s="14" t="s">
        <v>22</v>
      </c>
      <c r="C8">
        <v>1187</v>
      </c>
      <c r="F8">
        <v>4000</v>
      </c>
      <c r="K8" s="14" t="s">
        <v>22</v>
      </c>
      <c r="L8">
        <v>48</v>
      </c>
      <c r="O8">
        <v>0</v>
      </c>
    </row>
    <row r="9" spans="1:17" x14ac:dyDescent="0.35">
      <c r="B9" s="14" t="s">
        <v>18</v>
      </c>
      <c r="C9">
        <v>2314</v>
      </c>
      <c r="D9">
        <v>0</v>
      </c>
      <c r="K9" s="14" t="s">
        <v>18</v>
      </c>
      <c r="L9">
        <v>0.17</v>
      </c>
      <c r="M9">
        <v>0</v>
      </c>
    </row>
    <row r="10" spans="1:17" x14ac:dyDescent="0.35">
      <c r="B10" s="14" t="s">
        <v>19</v>
      </c>
      <c r="D10">
        <v>2205</v>
      </c>
      <c r="G10">
        <v>0</v>
      </c>
      <c r="K10" s="14" t="s">
        <v>19</v>
      </c>
      <c r="M10">
        <v>23.56</v>
      </c>
      <c r="P10">
        <v>0</v>
      </c>
    </row>
    <row r="11" spans="1:17" x14ac:dyDescent="0.35">
      <c r="B11" s="14" t="s">
        <v>20</v>
      </c>
      <c r="D11">
        <v>796</v>
      </c>
      <c r="E11">
        <v>4000</v>
      </c>
      <c r="K11" s="14" t="s">
        <v>20</v>
      </c>
      <c r="M11">
        <v>48</v>
      </c>
      <c r="N11">
        <v>0</v>
      </c>
    </row>
    <row r="12" spans="1:17" x14ac:dyDescent="0.35">
      <c r="B12" s="14" t="s">
        <v>21</v>
      </c>
      <c r="F12">
        <v>0</v>
      </c>
      <c r="G12">
        <v>2800</v>
      </c>
      <c r="K12" s="14" t="s">
        <v>21</v>
      </c>
      <c r="O12">
        <v>0</v>
      </c>
      <c r="P12">
        <v>0</v>
      </c>
    </row>
    <row r="16" spans="1:17" x14ac:dyDescent="0.35">
      <c r="A16" s="15" t="s">
        <v>41</v>
      </c>
    </row>
    <row r="22" spans="2:17" x14ac:dyDescent="0.35">
      <c r="C22" s="14" t="s">
        <v>6</v>
      </c>
      <c r="D22" s="14" t="s">
        <v>7</v>
      </c>
      <c r="E22" s="14" t="s">
        <v>11</v>
      </c>
      <c r="F22" s="14" t="s">
        <v>13</v>
      </c>
      <c r="G22" s="14" t="s">
        <v>8</v>
      </c>
      <c r="H22" s="14" t="s">
        <v>12</v>
      </c>
      <c r="L22" s="14" t="s">
        <v>6</v>
      </c>
      <c r="M22" s="14" t="s">
        <v>7</v>
      </c>
      <c r="N22" s="14" t="s">
        <v>11</v>
      </c>
      <c r="O22" s="14" t="s">
        <v>13</v>
      </c>
      <c r="P22" s="14" t="s">
        <v>8</v>
      </c>
      <c r="Q22" s="14" t="s">
        <v>12</v>
      </c>
    </row>
    <row r="23" spans="2:17" x14ac:dyDescent="0.35">
      <c r="B23" s="14" t="s">
        <v>22</v>
      </c>
      <c r="C23">
        <v>0</v>
      </c>
      <c r="F23">
        <v>4300</v>
      </c>
      <c r="K23" s="14" t="s">
        <v>22</v>
      </c>
      <c r="L23">
        <v>0</v>
      </c>
      <c r="O23">
        <v>0</v>
      </c>
    </row>
    <row r="24" spans="2:17" x14ac:dyDescent="0.35">
      <c r="B24" s="14" t="s">
        <v>18</v>
      </c>
      <c r="C24">
        <v>3000</v>
      </c>
      <c r="D24">
        <v>0</v>
      </c>
      <c r="K24" s="14" t="s">
        <v>18</v>
      </c>
      <c r="L24">
        <v>32.86</v>
      </c>
      <c r="M24">
        <v>0</v>
      </c>
    </row>
    <row r="25" spans="2:17" x14ac:dyDescent="0.35">
      <c r="B25" s="14" t="s">
        <v>19</v>
      </c>
      <c r="D25">
        <v>2005</v>
      </c>
      <c r="G25">
        <v>0</v>
      </c>
      <c r="K25" s="14" t="s">
        <v>19</v>
      </c>
      <c r="M25">
        <v>11.48</v>
      </c>
      <c r="P25">
        <v>0</v>
      </c>
    </row>
    <row r="26" spans="2:17" x14ac:dyDescent="0.35">
      <c r="B26" s="14" t="s">
        <v>20</v>
      </c>
      <c r="D26">
        <v>796</v>
      </c>
      <c r="E26">
        <v>4000</v>
      </c>
      <c r="K26" s="14" t="s">
        <v>20</v>
      </c>
      <c r="M26">
        <v>48</v>
      </c>
      <c r="N26">
        <v>0</v>
      </c>
    </row>
    <row r="27" spans="2:17" x14ac:dyDescent="0.35">
      <c r="B27" s="14" t="s">
        <v>21</v>
      </c>
      <c r="F27">
        <v>0</v>
      </c>
      <c r="G27">
        <v>2800</v>
      </c>
      <c r="K27" s="14" t="s">
        <v>21</v>
      </c>
      <c r="O27">
        <v>0</v>
      </c>
      <c r="P27">
        <v>0</v>
      </c>
    </row>
    <row r="33" spans="1:17" x14ac:dyDescent="0.35">
      <c r="A33" s="15" t="s">
        <v>42</v>
      </c>
    </row>
    <row r="39" spans="1:17" x14ac:dyDescent="0.35">
      <c r="C39" s="14" t="s">
        <v>6</v>
      </c>
      <c r="D39" s="14" t="s">
        <v>7</v>
      </c>
      <c r="E39" s="14" t="s">
        <v>11</v>
      </c>
      <c r="F39" s="14" t="s">
        <v>13</v>
      </c>
      <c r="G39" s="14" t="s">
        <v>8</v>
      </c>
      <c r="H39" s="14" t="s">
        <v>12</v>
      </c>
      <c r="L39" s="14" t="s">
        <v>6</v>
      </c>
      <c r="M39" s="14" t="s">
        <v>7</v>
      </c>
      <c r="N39" s="14" t="s">
        <v>11</v>
      </c>
      <c r="O39" s="14" t="s">
        <v>13</v>
      </c>
      <c r="P39" s="14" t="s">
        <v>8</v>
      </c>
      <c r="Q39" s="14" t="s">
        <v>12</v>
      </c>
    </row>
    <row r="40" spans="1:17" x14ac:dyDescent="0.35">
      <c r="B40" s="14" t="s">
        <v>22</v>
      </c>
      <c r="C40">
        <v>690</v>
      </c>
      <c r="F40">
        <v>3500</v>
      </c>
      <c r="K40" s="14" t="s">
        <v>22</v>
      </c>
      <c r="L40">
        <v>14.49</v>
      </c>
      <c r="O40">
        <v>0</v>
      </c>
    </row>
    <row r="41" spans="1:17" x14ac:dyDescent="0.35">
      <c r="B41" s="14" t="s">
        <v>18</v>
      </c>
      <c r="C41">
        <v>2310</v>
      </c>
      <c r="D41">
        <v>0</v>
      </c>
      <c r="K41" s="14" t="s">
        <v>18</v>
      </c>
      <c r="L41">
        <v>0</v>
      </c>
      <c r="M41">
        <v>11.21</v>
      </c>
    </row>
    <row r="42" spans="1:17" x14ac:dyDescent="0.35">
      <c r="B42" s="14" t="s">
        <v>19</v>
      </c>
      <c r="D42">
        <v>2000</v>
      </c>
      <c r="G42">
        <v>0</v>
      </c>
      <c r="K42" s="14" t="s">
        <v>19</v>
      </c>
      <c r="M42">
        <v>0</v>
      </c>
      <c r="P42">
        <v>0</v>
      </c>
    </row>
    <row r="43" spans="1:17" x14ac:dyDescent="0.35">
      <c r="B43" s="14" t="s">
        <v>20</v>
      </c>
      <c r="D43">
        <v>0</v>
      </c>
      <c r="E43">
        <v>4000</v>
      </c>
      <c r="K43" s="14" t="s">
        <v>20</v>
      </c>
      <c r="M43">
        <v>0</v>
      </c>
      <c r="N43">
        <v>0</v>
      </c>
    </row>
    <row r="44" spans="1:17" x14ac:dyDescent="0.35">
      <c r="B44" s="14" t="s">
        <v>21</v>
      </c>
      <c r="F44">
        <v>0</v>
      </c>
      <c r="G44">
        <v>3000</v>
      </c>
      <c r="K44" s="14" t="s">
        <v>21</v>
      </c>
      <c r="O44">
        <v>0</v>
      </c>
      <c r="P44">
        <v>0</v>
      </c>
    </row>
    <row r="51" spans="1:17" x14ac:dyDescent="0.35">
      <c r="A51" s="15" t="s">
        <v>43</v>
      </c>
    </row>
    <row r="57" spans="1:17" x14ac:dyDescent="0.35">
      <c r="C57" s="14" t="s">
        <v>6</v>
      </c>
      <c r="D57" s="14" t="s">
        <v>7</v>
      </c>
      <c r="E57" s="14" t="s">
        <v>11</v>
      </c>
      <c r="F57" s="14" t="s">
        <v>13</v>
      </c>
      <c r="G57" s="14" t="s">
        <v>8</v>
      </c>
      <c r="H57" s="14" t="s">
        <v>12</v>
      </c>
      <c r="L57" s="14" t="s">
        <v>6</v>
      </c>
      <c r="M57" s="14" t="s">
        <v>7</v>
      </c>
      <c r="N57" s="14" t="s">
        <v>11</v>
      </c>
      <c r="O57" s="14" t="s">
        <v>13</v>
      </c>
      <c r="P57" s="14" t="s">
        <v>8</v>
      </c>
      <c r="Q57" s="14" t="s">
        <v>12</v>
      </c>
    </row>
    <row r="58" spans="1:17" x14ac:dyDescent="0.35">
      <c r="B58" s="14" t="s">
        <v>22</v>
      </c>
      <c r="C58">
        <v>690</v>
      </c>
      <c r="F58">
        <v>3800</v>
      </c>
      <c r="K58" s="14" t="s">
        <v>22</v>
      </c>
      <c r="L58">
        <v>22.19</v>
      </c>
      <c r="O58">
        <v>0</v>
      </c>
    </row>
    <row r="59" spans="1:17" x14ac:dyDescent="0.35">
      <c r="B59" s="14" t="s">
        <v>18</v>
      </c>
      <c r="C59">
        <v>2310</v>
      </c>
      <c r="D59">
        <v>0</v>
      </c>
      <c r="K59" s="14" t="s">
        <v>18</v>
      </c>
      <c r="L59">
        <v>0</v>
      </c>
      <c r="M59">
        <v>0</v>
      </c>
    </row>
    <row r="60" spans="1:17" x14ac:dyDescent="0.35">
      <c r="B60" s="14" t="s">
        <v>19</v>
      </c>
      <c r="D60">
        <v>2205</v>
      </c>
      <c r="G60">
        <v>0</v>
      </c>
      <c r="K60" s="14" t="s">
        <v>19</v>
      </c>
      <c r="M60">
        <v>23.6</v>
      </c>
      <c r="P60">
        <v>0</v>
      </c>
    </row>
    <row r="61" spans="1:17" x14ac:dyDescent="0.35">
      <c r="B61" s="14" t="s">
        <v>20</v>
      </c>
      <c r="D61">
        <v>796</v>
      </c>
      <c r="E61">
        <v>4000</v>
      </c>
      <c r="K61" s="14" t="s">
        <v>20</v>
      </c>
      <c r="M61">
        <v>48</v>
      </c>
      <c r="N61">
        <v>0</v>
      </c>
    </row>
    <row r="62" spans="1:17" x14ac:dyDescent="0.35">
      <c r="B62" s="14" t="s">
        <v>21</v>
      </c>
      <c r="F62">
        <v>0</v>
      </c>
      <c r="G62">
        <v>2800</v>
      </c>
      <c r="K62" s="14" t="s">
        <v>21</v>
      </c>
      <c r="O62">
        <v>0</v>
      </c>
      <c r="P62">
        <v>0</v>
      </c>
    </row>
    <row r="67" spans="1:17" x14ac:dyDescent="0.35">
      <c r="A67" s="15" t="s">
        <v>44</v>
      </c>
    </row>
    <row r="73" spans="1:17" x14ac:dyDescent="0.35">
      <c r="C73" s="14" t="s">
        <v>6</v>
      </c>
      <c r="D73" s="14" t="s">
        <v>7</v>
      </c>
      <c r="E73" s="14" t="s">
        <v>11</v>
      </c>
      <c r="F73" s="14" t="s">
        <v>13</v>
      </c>
      <c r="G73" s="14" t="s">
        <v>8</v>
      </c>
      <c r="H73" s="14" t="s">
        <v>12</v>
      </c>
      <c r="L73" s="14" t="s">
        <v>6</v>
      </c>
      <c r="M73" s="14" t="s">
        <v>7</v>
      </c>
      <c r="N73" s="14" t="s">
        <v>11</v>
      </c>
      <c r="O73" s="14" t="s">
        <v>13</v>
      </c>
      <c r="P73" s="14" t="s">
        <v>8</v>
      </c>
      <c r="Q73" s="14" t="s">
        <v>12</v>
      </c>
    </row>
    <row r="74" spans="1:17" x14ac:dyDescent="0.35">
      <c r="B74" s="14" t="s">
        <v>22</v>
      </c>
      <c r="C74">
        <v>690</v>
      </c>
      <c r="F74">
        <v>4000</v>
      </c>
      <c r="K74" s="14" t="s">
        <v>22</v>
      </c>
      <c r="L74">
        <v>27.31</v>
      </c>
      <c r="O74">
        <v>0</v>
      </c>
    </row>
    <row r="75" spans="1:17" x14ac:dyDescent="0.35">
      <c r="B75" s="14" t="s">
        <v>18</v>
      </c>
      <c r="C75">
        <v>2310</v>
      </c>
      <c r="D75">
        <v>0</v>
      </c>
      <c r="K75" s="14" t="s">
        <v>18</v>
      </c>
      <c r="L75">
        <v>0</v>
      </c>
      <c r="M75">
        <v>0</v>
      </c>
    </row>
    <row r="76" spans="1:17" x14ac:dyDescent="0.35">
      <c r="B76" s="14" t="s">
        <v>19</v>
      </c>
      <c r="D76">
        <v>2205</v>
      </c>
      <c r="G76">
        <v>0</v>
      </c>
      <c r="K76" s="14" t="s">
        <v>19</v>
      </c>
      <c r="M76">
        <v>23.6</v>
      </c>
      <c r="P76">
        <v>0</v>
      </c>
    </row>
    <row r="77" spans="1:17" x14ac:dyDescent="0.35">
      <c r="B77" s="14" t="s">
        <v>20</v>
      </c>
      <c r="D77">
        <v>796</v>
      </c>
      <c r="E77">
        <v>4000</v>
      </c>
      <c r="K77" s="14" t="s">
        <v>20</v>
      </c>
      <c r="M77">
        <v>48</v>
      </c>
      <c r="N77">
        <v>0</v>
      </c>
    </row>
    <row r="78" spans="1:17" x14ac:dyDescent="0.35">
      <c r="B78" s="14" t="s">
        <v>21</v>
      </c>
      <c r="F78">
        <v>0</v>
      </c>
      <c r="G78">
        <v>2800</v>
      </c>
      <c r="K78" s="14" t="s">
        <v>21</v>
      </c>
      <c r="O78">
        <v>0</v>
      </c>
      <c r="P78">
        <v>0</v>
      </c>
    </row>
    <row r="83" spans="1:17" x14ac:dyDescent="0.35">
      <c r="A83" s="15" t="s">
        <v>45</v>
      </c>
    </row>
    <row r="89" spans="1:17" x14ac:dyDescent="0.35">
      <c r="C89" s="14" t="s">
        <v>6</v>
      </c>
      <c r="D89" s="14" t="s">
        <v>7</v>
      </c>
      <c r="E89" s="14" t="s">
        <v>11</v>
      </c>
      <c r="F89" s="14" t="s">
        <v>13</v>
      </c>
      <c r="G89" s="14" t="s">
        <v>8</v>
      </c>
      <c r="H89" s="14" t="s">
        <v>12</v>
      </c>
      <c r="L89" s="14" t="s">
        <v>6</v>
      </c>
      <c r="M89" s="14" t="s">
        <v>7</v>
      </c>
      <c r="N89" s="14" t="s">
        <v>11</v>
      </c>
      <c r="O89" s="14" t="s">
        <v>13</v>
      </c>
      <c r="P89" s="14" t="s">
        <v>8</v>
      </c>
      <c r="Q89" s="14" t="s">
        <v>12</v>
      </c>
    </row>
    <row r="90" spans="1:17" x14ac:dyDescent="0.35">
      <c r="B90" s="14" t="s">
        <v>22</v>
      </c>
      <c r="C90">
        <v>1190</v>
      </c>
      <c r="F90">
        <v>3462</v>
      </c>
      <c r="K90" s="14" t="s">
        <v>22</v>
      </c>
      <c r="L90">
        <v>34.35</v>
      </c>
      <c r="O90">
        <v>0</v>
      </c>
    </row>
    <row r="91" spans="1:17" x14ac:dyDescent="0.35">
      <c r="B91" s="14" t="s">
        <v>18</v>
      </c>
      <c r="C91">
        <v>2310</v>
      </c>
      <c r="D91">
        <v>0</v>
      </c>
      <c r="K91" s="14" t="s">
        <v>18</v>
      </c>
      <c r="L91">
        <v>0</v>
      </c>
      <c r="M91">
        <v>0</v>
      </c>
    </row>
    <row r="92" spans="1:17" x14ac:dyDescent="0.35">
      <c r="B92" s="14" t="s">
        <v>19</v>
      </c>
      <c r="D92">
        <v>2500</v>
      </c>
      <c r="G92">
        <v>0</v>
      </c>
      <c r="K92" s="14" t="s">
        <v>19</v>
      </c>
      <c r="M92">
        <v>41.52</v>
      </c>
      <c r="P92">
        <v>0</v>
      </c>
    </row>
    <row r="93" spans="1:17" x14ac:dyDescent="0.35">
      <c r="B93" s="14" t="s">
        <v>20</v>
      </c>
      <c r="D93">
        <v>0</v>
      </c>
      <c r="E93">
        <v>4000</v>
      </c>
      <c r="K93" s="14" t="s">
        <v>20</v>
      </c>
      <c r="M93">
        <v>0</v>
      </c>
      <c r="N93">
        <v>0</v>
      </c>
    </row>
    <row r="94" spans="1:17" x14ac:dyDescent="0.35">
      <c r="B94" s="14" t="s">
        <v>21</v>
      </c>
      <c r="F94">
        <v>338</v>
      </c>
      <c r="G94">
        <v>2500</v>
      </c>
      <c r="K94" s="14" t="s">
        <v>21</v>
      </c>
      <c r="O94">
        <v>0</v>
      </c>
      <c r="P94">
        <v>0</v>
      </c>
    </row>
    <row r="100" spans="1:17" x14ac:dyDescent="0.35">
      <c r="A100" s="15" t="s">
        <v>46</v>
      </c>
    </row>
    <row r="106" spans="1:17" x14ac:dyDescent="0.35">
      <c r="C106" s="14" t="s">
        <v>6</v>
      </c>
      <c r="D106" s="14" t="s">
        <v>7</v>
      </c>
      <c r="E106" s="14" t="s">
        <v>11</v>
      </c>
      <c r="F106" s="14" t="s">
        <v>13</v>
      </c>
      <c r="G106" s="14" t="s">
        <v>8</v>
      </c>
      <c r="H106" s="14" t="s">
        <v>12</v>
      </c>
      <c r="L106" s="14" t="s">
        <v>6</v>
      </c>
      <c r="M106" s="14" t="s">
        <v>7</v>
      </c>
      <c r="N106" s="14" t="s">
        <v>11</v>
      </c>
      <c r="O106" s="14" t="s">
        <v>13</v>
      </c>
      <c r="P106" s="14" t="s">
        <v>8</v>
      </c>
      <c r="Q106" s="14" t="s">
        <v>12</v>
      </c>
    </row>
    <row r="107" spans="1:17" x14ac:dyDescent="0.35">
      <c r="B107" s="14" t="s">
        <v>22</v>
      </c>
      <c r="C107">
        <v>1190</v>
      </c>
      <c r="F107">
        <v>3662</v>
      </c>
      <c r="K107" s="14" t="s">
        <v>22</v>
      </c>
      <c r="L107">
        <v>39.479999999999997</v>
      </c>
      <c r="O107">
        <v>0</v>
      </c>
    </row>
    <row r="108" spans="1:17" x14ac:dyDescent="0.35">
      <c r="B108" s="14" t="s">
        <v>18</v>
      </c>
      <c r="C108">
        <v>2310</v>
      </c>
      <c r="D108">
        <v>0</v>
      </c>
      <c r="K108" s="14" t="s">
        <v>18</v>
      </c>
      <c r="L108">
        <v>0</v>
      </c>
      <c r="M108">
        <v>0</v>
      </c>
    </row>
    <row r="109" spans="1:17" x14ac:dyDescent="0.35">
      <c r="B109" s="14" t="s">
        <v>19</v>
      </c>
      <c r="D109">
        <v>1815</v>
      </c>
      <c r="G109">
        <v>0</v>
      </c>
      <c r="K109" s="14" t="s">
        <v>19</v>
      </c>
      <c r="M109">
        <v>0</v>
      </c>
      <c r="P109">
        <v>0</v>
      </c>
    </row>
    <row r="110" spans="1:17" x14ac:dyDescent="0.35">
      <c r="B110" s="14" t="s">
        <v>20</v>
      </c>
      <c r="D110">
        <v>685</v>
      </c>
      <c r="E110">
        <v>3800</v>
      </c>
      <c r="K110" s="14" t="s">
        <v>20</v>
      </c>
      <c r="M110">
        <v>36.92</v>
      </c>
      <c r="N110">
        <v>0</v>
      </c>
    </row>
    <row r="111" spans="1:17" x14ac:dyDescent="0.35">
      <c r="B111" s="14" t="s">
        <v>21</v>
      </c>
      <c r="F111">
        <v>338</v>
      </c>
      <c r="G111">
        <v>2500</v>
      </c>
      <c r="K111" s="14" t="s">
        <v>21</v>
      </c>
      <c r="O111">
        <v>0</v>
      </c>
      <c r="P111">
        <v>0</v>
      </c>
    </row>
    <row r="116" spans="1:17" x14ac:dyDescent="0.35">
      <c r="A116" s="15" t="s">
        <v>47</v>
      </c>
    </row>
    <row r="122" spans="1:17" x14ac:dyDescent="0.35">
      <c r="C122" s="14" t="s">
        <v>6</v>
      </c>
      <c r="D122" s="14" t="s">
        <v>7</v>
      </c>
      <c r="E122" s="14" t="s">
        <v>11</v>
      </c>
      <c r="F122" s="14" t="s">
        <v>13</v>
      </c>
      <c r="G122" s="14" t="s">
        <v>8</v>
      </c>
      <c r="H122" s="14" t="s">
        <v>12</v>
      </c>
      <c r="L122" s="14" t="s">
        <v>6</v>
      </c>
      <c r="M122" s="14" t="s">
        <v>7</v>
      </c>
      <c r="N122" s="14" t="s">
        <v>11</v>
      </c>
      <c r="O122" s="14" t="s">
        <v>13</v>
      </c>
      <c r="P122" s="14" t="s">
        <v>8</v>
      </c>
      <c r="Q122" s="14" t="s">
        <v>12</v>
      </c>
    </row>
    <row r="123" spans="1:17" x14ac:dyDescent="0.35">
      <c r="B123" s="14" t="s">
        <v>22</v>
      </c>
      <c r="C123">
        <v>990</v>
      </c>
      <c r="F123">
        <v>3862</v>
      </c>
      <c r="K123" s="14" t="s">
        <v>22</v>
      </c>
      <c r="L123">
        <v>36.28</v>
      </c>
      <c r="O123">
        <v>0</v>
      </c>
    </row>
    <row r="124" spans="1:17" x14ac:dyDescent="0.35">
      <c r="B124" s="14" t="s">
        <v>18</v>
      </c>
      <c r="C124">
        <v>2310</v>
      </c>
      <c r="D124">
        <v>0</v>
      </c>
      <c r="K124" s="14" t="s">
        <v>18</v>
      </c>
      <c r="L124">
        <v>0</v>
      </c>
      <c r="M124">
        <v>0</v>
      </c>
    </row>
    <row r="125" spans="1:17" x14ac:dyDescent="0.35">
      <c r="B125" s="14" t="s">
        <v>19</v>
      </c>
      <c r="D125">
        <v>2451</v>
      </c>
      <c r="G125">
        <v>0</v>
      </c>
      <c r="K125" s="14" t="s">
        <v>19</v>
      </c>
      <c r="M125">
        <v>38.51</v>
      </c>
      <c r="P125">
        <v>0</v>
      </c>
    </row>
    <row r="126" spans="1:17" x14ac:dyDescent="0.35">
      <c r="B126" s="14" t="s">
        <v>20</v>
      </c>
      <c r="D126">
        <v>950</v>
      </c>
      <c r="E126">
        <v>3700</v>
      </c>
      <c r="K126" s="14" t="s">
        <v>20</v>
      </c>
      <c r="M126">
        <v>48</v>
      </c>
      <c r="N126">
        <v>0</v>
      </c>
    </row>
    <row r="127" spans="1:17" x14ac:dyDescent="0.35">
      <c r="B127" s="14" t="s">
        <v>21</v>
      </c>
      <c r="F127">
        <v>338</v>
      </c>
      <c r="G127">
        <v>2500</v>
      </c>
      <c r="K127" s="14" t="s">
        <v>21</v>
      </c>
      <c r="O127">
        <v>0</v>
      </c>
      <c r="P127">
        <v>0</v>
      </c>
    </row>
    <row r="132" spans="1:17" x14ac:dyDescent="0.35">
      <c r="A132" s="15" t="s">
        <v>48</v>
      </c>
    </row>
    <row r="138" spans="1:17" x14ac:dyDescent="0.35">
      <c r="C138" s="14" t="s">
        <v>6</v>
      </c>
      <c r="D138" s="14" t="s">
        <v>7</v>
      </c>
      <c r="E138" s="14" t="s">
        <v>11</v>
      </c>
      <c r="F138" s="14" t="s">
        <v>13</v>
      </c>
      <c r="G138" s="14" t="s">
        <v>8</v>
      </c>
      <c r="H138" s="14" t="s">
        <v>12</v>
      </c>
      <c r="L138" s="14" t="s">
        <v>6</v>
      </c>
      <c r="M138" s="14" t="s">
        <v>7</v>
      </c>
      <c r="N138" s="14" t="s">
        <v>11</v>
      </c>
      <c r="O138" s="14" t="s">
        <v>13</v>
      </c>
      <c r="P138" s="14" t="s">
        <v>8</v>
      </c>
      <c r="Q138" s="14" t="s">
        <v>12</v>
      </c>
    </row>
    <row r="139" spans="1:17" x14ac:dyDescent="0.35">
      <c r="B139" s="14" t="s">
        <v>22</v>
      </c>
      <c r="C139">
        <v>2688</v>
      </c>
      <c r="F139">
        <v>0</v>
      </c>
      <c r="K139" s="14" t="s">
        <v>22</v>
      </c>
      <c r="L139">
        <v>0</v>
      </c>
      <c r="O139">
        <v>0</v>
      </c>
    </row>
    <row r="140" spans="1:17" x14ac:dyDescent="0.35">
      <c r="B140" s="14" t="s">
        <v>18</v>
      </c>
      <c r="C140">
        <v>612</v>
      </c>
      <c r="D140">
        <v>1002</v>
      </c>
      <c r="K140" s="14" t="s">
        <v>18</v>
      </c>
      <c r="L140">
        <v>0</v>
      </c>
      <c r="M140">
        <v>0</v>
      </c>
    </row>
    <row r="141" spans="1:17" x14ac:dyDescent="0.35">
      <c r="B141" s="14" t="s">
        <v>19</v>
      </c>
      <c r="D141">
        <v>0</v>
      </c>
      <c r="G141">
        <v>3000</v>
      </c>
      <c r="K141" s="14" t="s">
        <v>19</v>
      </c>
      <c r="M141">
        <v>0</v>
      </c>
      <c r="P141">
        <v>15.1</v>
      </c>
    </row>
    <row r="142" spans="1:17" x14ac:dyDescent="0.35">
      <c r="B142" s="14" t="s">
        <v>20</v>
      </c>
      <c r="D142">
        <v>2399</v>
      </c>
      <c r="E142">
        <v>0</v>
      </c>
      <c r="K142" s="14" t="s">
        <v>20</v>
      </c>
      <c r="M142">
        <v>12.58</v>
      </c>
      <c r="N142">
        <v>0</v>
      </c>
    </row>
    <row r="143" spans="1:17" x14ac:dyDescent="0.35">
      <c r="B143" s="14" t="s">
        <v>21</v>
      </c>
      <c r="F143">
        <v>4500</v>
      </c>
      <c r="G143">
        <v>0</v>
      </c>
      <c r="K143" s="14" t="s">
        <v>21</v>
      </c>
      <c r="O143">
        <v>3.39</v>
      </c>
      <c r="P143">
        <v>0</v>
      </c>
    </row>
    <row r="149" spans="1:17" x14ac:dyDescent="0.35">
      <c r="A149" s="15" t="s">
        <v>49</v>
      </c>
    </row>
    <row r="155" spans="1:17" x14ac:dyDescent="0.35">
      <c r="C155" s="14" t="s">
        <v>6</v>
      </c>
      <c r="D155" s="14" t="s">
        <v>7</v>
      </c>
      <c r="E155" s="14" t="s">
        <v>11</v>
      </c>
      <c r="F155" s="14" t="s">
        <v>13</v>
      </c>
      <c r="G155" s="14" t="s">
        <v>8</v>
      </c>
      <c r="H155" s="14" t="s">
        <v>12</v>
      </c>
      <c r="L155" s="14" t="s">
        <v>6</v>
      </c>
      <c r="M155" s="14" t="s">
        <v>7</v>
      </c>
      <c r="N155" s="14" t="s">
        <v>11</v>
      </c>
      <c r="O155" s="14" t="s">
        <v>13</v>
      </c>
      <c r="P155" s="14" t="s">
        <v>8</v>
      </c>
      <c r="Q155" s="14" t="s">
        <v>12</v>
      </c>
    </row>
    <row r="156" spans="1:17" x14ac:dyDescent="0.35">
      <c r="B156" s="14" t="s">
        <v>22</v>
      </c>
      <c r="C156">
        <v>2345</v>
      </c>
      <c r="F156">
        <v>243</v>
      </c>
      <c r="K156" s="14" t="s">
        <v>22</v>
      </c>
      <c r="L156">
        <v>0</v>
      </c>
      <c r="O156">
        <v>0</v>
      </c>
    </row>
    <row r="157" spans="1:17" x14ac:dyDescent="0.35">
      <c r="B157" s="14" t="s">
        <v>18</v>
      </c>
      <c r="C157">
        <v>853</v>
      </c>
      <c r="D157">
        <v>844</v>
      </c>
      <c r="K157" s="14" t="s">
        <v>18</v>
      </c>
      <c r="L157">
        <v>0</v>
      </c>
      <c r="M157">
        <v>0</v>
      </c>
    </row>
    <row r="158" spans="1:17" x14ac:dyDescent="0.35">
      <c r="B158" s="14" t="s">
        <v>19</v>
      </c>
      <c r="D158">
        <v>0</v>
      </c>
      <c r="G158">
        <v>3000</v>
      </c>
      <c r="K158" s="14" t="s">
        <v>19</v>
      </c>
      <c r="M158">
        <v>0</v>
      </c>
      <c r="P158">
        <v>15.11</v>
      </c>
    </row>
    <row r="159" spans="1:17" x14ac:dyDescent="0.35">
      <c r="B159" s="14" t="s">
        <v>20</v>
      </c>
      <c r="D159">
        <v>2156</v>
      </c>
      <c r="E159">
        <v>0</v>
      </c>
      <c r="K159" s="14" t="s">
        <v>20</v>
      </c>
      <c r="M159">
        <v>0</v>
      </c>
      <c r="N159">
        <v>0</v>
      </c>
    </row>
    <row r="160" spans="1:17" x14ac:dyDescent="0.35">
      <c r="B160" s="14" t="s">
        <v>21</v>
      </c>
      <c r="F160">
        <v>4258</v>
      </c>
      <c r="G160">
        <v>0</v>
      </c>
      <c r="K160" s="14" t="s">
        <v>21</v>
      </c>
      <c r="O160">
        <v>0</v>
      </c>
      <c r="P160">
        <v>0</v>
      </c>
    </row>
    <row r="164" spans="1:17" x14ac:dyDescent="0.35">
      <c r="A164" s="16" t="s">
        <v>39</v>
      </c>
    </row>
    <row r="170" spans="1:17" x14ac:dyDescent="0.35">
      <c r="C170" s="14" t="s">
        <v>6</v>
      </c>
      <c r="D170" s="14" t="s">
        <v>7</v>
      </c>
      <c r="E170" s="14" t="s">
        <v>11</v>
      </c>
      <c r="F170" s="14" t="s">
        <v>13</v>
      </c>
      <c r="G170" s="14" t="s">
        <v>8</v>
      </c>
      <c r="H170" s="14" t="s">
        <v>12</v>
      </c>
      <c r="L170" s="14" t="s">
        <v>6</v>
      </c>
      <c r="M170" s="14" t="s">
        <v>7</v>
      </c>
      <c r="N170" s="14" t="s">
        <v>11</v>
      </c>
      <c r="O170" s="14" t="s">
        <v>13</v>
      </c>
      <c r="P170" s="14" t="s">
        <v>8</v>
      </c>
      <c r="Q170" s="14" t="s">
        <v>12</v>
      </c>
    </row>
    <row r="171" spans="1:17" x14ac:dyDescent="0.35">
      <c r="B171" s="14" t="s">
        <v>22</v>
      </c>
      <c r="C171">
        <v>1223</v>
      </c>
      <c r="F171">
        <v>4217</v>
      </c>
      <c r="K171" s="14" t="s">
        <v>22</v>
      </c>
      <c r="L171">
        <v>7.52</v>
      </c>
      <c r="O171">
        <v>40.479999999999997</v>
      </c>
    </row>
    <row r="172" spans="1:17" x14ac:dyDescent="0.35">
      <c r="B172" s="14" t="s">
        <v>18</v>
      </c>
      <c r="C172">
        <v>3278</v>
      </c>
      <c r="D172">
        <v>35</v>
      </c>
      <c r="K172" s="14" t="s">
        <v>18</v>
      </c>
      <c r="L172">
        <v>34.96</v>
      </c>
      <c r="M172">
        <v>13.04</v>
      </c>
    </row>
    <row r="173" spans="1:17" x14ac:dyDescent="0.35">
      <c r="B173" s="14" t="s">
        <v>19</v>
      </c>
      <c r="D173">
        <v>3546</v>
      </c>
      <c r="G173">
        <v>0</v>
      </c>
      <c r="K173" s="14" t="s">
        <v>19</v>
      </c>
      <c r="M173">
        <v>80.88</v>
      </c>
      <c r="P173">
        <v>48</v>
      </c>
    </row>
    <row r="174" spans="1:17" x14ac:dyDescent="0.35">
      <c r="B174" s="14" t="s">
        <v>20</v>
      </c>
      <c r="D174">
        <v>421</v>
      </c>
      <c r="E174">
        <v>5000</v>
      </c>
      <c r="K174" s="14" t="s">
        <v>20</v>
      </c>
      <c r="M174">
        <v>0</v>
      </c>
      <c r="N174">
        <v>48</v>
      </c>
    </row>
    <row r="175" spans="1:17" x14ac:dyDescent="0.35">
      <c r="B175" s="14" t="s">
        <v>21</v>
      </c>
      <c r="F175">
        <v>784</v>
      </c>
      <c r="G175">
        <v>3800</v>
      </c>
      <c r="K175" s="14" t="s">
        <v>21</v>
      </c>
      <c r="O175">
        <v>0</v>
      </c>
      <c r="P175">
        <v>48</v>
      </c>
    </row>
    <row r="181" spans="1:17" x14ac:dyDescent="0.35">
      <c r="A181" s="15" t="s">
        <v>50</v>
      </c>
    </row>
    <row r="187" spans="1:17" x14ac:dyDescent="0.35">
      <c r="C187" s="14" t="s">
        <v>6</v>
      </c>
      <c r="D187" s="14" t="s">
        <v>7</v>
      </c>
      <c r="E187" s="14" t="s">
        <v>11</v>
      </c>
      <c r="F187" s="14" t="s">
        <v>13</v>
      </c>
      <c r="G187" s="14" t="s">
        <v>8</v>
      </c>
      <c r="H187" s="14" t="s">
        <v>12</v>
      </c>
      <c r="L187" s="14" t="s">
        <v>6</v>
      </c>
      <c r="M187" s="14" t="s">
        <v>7</v>
      </c>
      <c r="N187" s="14" t="s">
        <v>11</v>
      </c>
      <c r="O187" s="14" t="s">
        <v>13</v>
      </c>
      <c r="P187" s="14" t="s">
        <v>8</v>
      </c>
      <c r="Q187" s="14" t="s">
        <v>12</v>
      </c>
    </row>
    <row r="188" spans="1:17" x14ac:dyDescent="0.35">
      <c r="B188" s="14" t="s">
        <v>22</v>
      </c>
      <c r="C188">
        <v>0</v>
      </c>
      <c r="F188">
        <v>4300</v>
      </c>
      <c r="K188" s="14" t="s">
        <v>22</v>
      </c>
      <c r="L188">
        <v>0</v>
      </c>
      <c r="O188">
        <v>0</v>
      </c>
    </row>
    <row r="189" spans="1:17" x14ac:dyDescent="0.35">
      <c r="B189" s="14" t="s">
        <v>18</v>
      </c>
      <c r="C189">
        <v>3000</v>
      </c>
      <c r="D189">
        <v>0</v>
      </c>
      <c r="K189" s="14" t="s">
        <v>18</v>
      </c>
      <c r="L189">
        <v>32.86</v>
      </c>
      <c r="M189">
        <v>0</v>
      </c>
    </row>
    <row r="190" spans="1:17" x14ac:dyDescent="0.35">
      <c r="B190" s="14" t="s">
        <v>19</v>
      </c>
      <c r="D190">
        <v>2005</v>
      </c>
      <c r="G190">
        <v>0</v>
      </c>
      <c r="K190" s="14" t="s">
        <v>19</v>
      </c>
      <c r="M190">
        <v>11.48</v>
      </c>
      <c r="P190">
        <v>0</v>
      </c>
    </row>
    <row r="191" spans="1:17" x14ac:dyDescent="0.35">
      <c r="B191" s="14" t="s">
        <v>20</v>
      </c>
      <c r="D191">
        <v>796</v>
      </c>
      <c r="E191">
        <v>4000</v>
      </c>
      <c r="K191" s="14" t="s">
        <v>20</v>
      </c>
      <c r="M191">
        <v>48</v>
      </c>
      <c r="N191">
        <v>0</v>
      </c>
    </row>
    <row r="192" spans="1:17" x14ac:dyDescent="0.35">
      <c r="B192" s="14" t="s">
        <v>21</v>
      </c>
      <c r="F192">
        <v>0</v>
      </c>
      <c r="G192">
        <v>2800</v>
      </c>
      <c r="K192" s="14" t="s">
        <v>21</v>
      </c>
      <c r="O192">
        <v>0</v>
      </c>
      <c r="P192">
        <v>0</v>
      </c>
    </row>
    <row r="197" spans="1:17" x14ac:dyDescent="0.35">
      <c r="A197" s="12"/>
    </row>
    <row r="203" spans="1:17" x14ac:dyDescent="0.35">
      <c r="C203" s="14"/>
      <c r="D203" s="14"/>
      <c r="E203" s="14"/>
      <c r="F203" s="14"/>
      <c r="G203" s="14"/>
      <c r="H203" s="14"/>
      <c r="L203" s="14"/>
      <c r="M203" s="14"/>
      <c r="N203" s="14"/>
      <c r="O203" s="14"/>
      <c r="P203" s="14"/>
      <c r="Q203" s="14"/>
    </row>
    <row r="204" spans="1:17" x14ac:dyDescent="0.35">
      <c r="B204" s="14"/>
      <c r="K204" s="14"/>
    </row>
    <row r="205" spans="1:17" x14ac:dyDescent="0.35">
      <c r="B205" s="14"/>
      <c r="K205" s="14"/>
    </row>
    <row r="206" spans="1:17" x14ac:dyDescent="0.35">
      <c r="B206" s="14"/>
      <c r="K206" s="14"/>
    </row>
    <row r="207" spans="1:17" x14ac:dyDescent="0.35">
      <c r="B207" s="14"/>
      <c r="K207" s="14"/>
    </row>
    <row r="208" spans="1:17" x14ac:dyDescent="0.35">
      <c r="B208" s="14"/>
      <c r="K208" s="14"/>
    </row>
  </sheetData>
  <phoneticPr fontId="8"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6E273-1A88-4ECA-8072-0FBA5FA70CC5}">
  <dimension ref="C4:G17"/>
  <sheetViews>
    <sheetView workbookViewId="0">
      <selection activeCell="F20" sqref="F20"/>
    </sheetView>
  </sheetViews>
  <sheetFormatPr defaultRowHeight="14.5" x14ac:dyDescent="0.35"/>
  <cols>
    <col min="4" max="4" width="15.453125" customWidth="1"/>
    <col min="5" max="5" width="31.36328125" customWidth="1"/>
    <col min="6" max="6" width="32" customWidth="1"/>
  </cols>
  <sheetData>
    <row r="4" spans="3:6" x14ac:dyDescent="0.35">
      <c r="C4" s="14" t="s">
        <v>51</v>
      </c>
      <c r="D4" s="14" t="s">
        <v>52</v>
      </c>
      <c r="E4" s="14" t="s">
        <v>53</v>
      </c>
      <c r="F4" s="14" t="s">
        <v>54</v>
      </c>
    </row>
    <row r="5" spans="3:6" x14ac:dyDescent="0.35">
      <c r="C5">
        <v>1</v>
      </c>
      <c r="D5">
        <v>119.73</v>
      </c>
      <c r="E5">
        <v>3591.9</v>
      </c>
      <c r="F5">
        <v>4789.2</v>
      </c>
    </row>
    <row r="6" spans="3:6" x14ac:dyDescent="0.35">
      <c r="C6">
        <v>2</v>
      </c>
      <c r="D6">
        <v>92.34</v>
      </c>
      <c r="E6">
        <v>2770.2</v>
      </c>
      <c r="F6">
        <v>3693.6</v>
      </c>
    </row>
    <row r="7" spans="3:6" x14ac:dyDescent="0.35">
      <c r="C7">
        <v>3</v>
      </c>
      <c r="D7">
        <v>25.7</v>
      </c>
      <c r="E7">
        <v>771</v>
      </c>
      <c r="F7">
        <v>1028</v>
      </c>
    </row>
    <row r="8" spans="3:6" x14ac:dyDescent="0.35">
      <c r="C8">
        <v>4</v>
      </c>
      <c r="D8">
        <v>93.79</v>
      </c>
      <c r="E8">
        <v>2813.7</v>
      </c>
      <c r="F8">
        <v>3751.6</v>
      </c>
    </row>
    <row r="9" spans="3:6" x14ac:dyDescent="0.35">
      <c r="C9">
        <v>5</v>
      </c>
      <c r="D9">
        <v>98.91</v>
      </c>
      <c r="E9">
        <v>2967.3</v>
      </c>
      <c r="F9">
        <v>3956.4</v>
      </c>
    </row>
    <row r="10" spans="3:6" x14ac:dyDescent="0.35">
      <c r="C10">
        <v>6</v>
      </c>
      <c r="D10">
        <v>75.87</v>
      </c>
      <c r="E10">
        <v>2276.1</v>
      </c>
      <c r="F10" s="14">
        <v>3034.8</v>
      </c>
    </row>
    <row r="11" spans="3:6" x14ac:dyDescent="0.35">
      <c r="C11">
        <v>7</v>
      </c>
      <c r="D11">
        <v>76.400000000000006</v>
      </c>
      <c r="E11">
        <v>2292</v>
      </c>
      <c r="F11">
        <v>3056</v>
      </c>
    </row>
    <row r="12" spans="3:6" x14ac:dyDescent="0.35">
      <c r="C12">
        <v>8</v>
      </c>
      <c r="D12">
        <v>122.79</v>
      </c>
      <c r="E12">
        <v>3683.7</v>
      </c>
      <c r="F12">
        <v>4911.6000000000004</v>
      </c>
    </row>
    <row r="13" spans="3:6" x14ac:dyDescent="0.35">
      <c r="C13">
        <v>9</v>
      </c>
      <c r="D13">
        <v>31.07</v>
      </c>
      <c r="E13">
        <v>932.1</v>
      </c>
      <c r="F13">
        <v>1242.8</v>
      </c>
    </row>
    <row r="14" spans="3:6" x14ac:dyDescent="0.35">
      <c r="C14">
        <v>10</v>
      </c>
      <c r="D14">
        <v>15.11</v>
      </c>
      <c r="E14">
        <v>453.3</v>
      </c>
      <c r="F14">
        <v>604.4</v>
      </c>
    </row>
    <row r="15" spans="3:6" x14ac:dyDescent="0.35">
      <c r="C15">
        <v>11</v>
      </c>
      <c r="D15">
        <v>320.88</v>
      </c>
      <c r="E15">
        <v>9626.4</v>
      </c>
      <c r="F15">
        <v>12835.2</v>
      </c>
    </row>
    <row r="16" spans="3:6" x14ac:dyDescent="0.35">
      <c r="C16">
        <v>12</v>
      </c>
      <c r="D16">
        <v>92.34</v>
      </c>
      <c r="E16">
        <v>2770.2</v>
      </c>
      <c r="F16">
        <v>3693.6</v>
      </c>
    </row>
    <row r="17" spans="4:7" x14ac:dyDescent="0.35">
      <c r="D17" s="15" t="s">
        <v>12</v>
      </c>
      <c r="E17" s="15">
        <f>SUM(E5:E16)</f>
        <v>34947.899999999994</v>
      </c>
      <c r="F17" s="15">
        <f>SUM(F5:F16)</f>
        <v>46597.2</v>
      </c>
      <c r="G17" s="15">
        <f>SUM(E17:F17)</f>
        <v>81545.099999999991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1C708-17E1-4264-B6DD-28082C27B52A}">
  <dimension ref="A1:Q208"/>
  <sheetViews>
    <sheetView tabSelected="1" workbookViewId="0">
      <selection activeCell="M11" sqref="M11"/>
    </sheetView>
  </sheetViews>
  <sheetFormatPr defaultRowHeight="14.5" x14ac:dyDescent="0.35"/>
  <cols>
    <col min="1" max="1" width="25.54296875" customWidth="1"/>
    <col min="2" max="2" width="9.6328125" customWidth="1"/>
    <col min="11" max="11" width="10.1796875" customWidth="1"/>
  </cols>
  <sheetData>
    <row r="1" spans="1:17" x14ac:dyDescent="0.35">
      <c r="A1" s="12" t="s">
        <v>55</v>
      </c>
    </row>
    <row r="7" spans="1:17" x14ac:dyDescent="0.35">
      <c r="C7" s="14" t="s">
        <v>6</v>
      </c>
      <c r="D7" s="14" t="s">
        <v>7</v>
      </c>
      <c r="E7" s="14" t="s">
        <v>11</v>
      </c>
      <c r="F7" s="14" t="s">
        <v>13</v>
      </c>
      <c r="G7" s="14" t="s">
        <v>8</v>
      </c>
      <c r="H7" s="14" t="s">
        <v>12</v>
      </c>
      <c r="L7" s="14" t="s">
        <v>6</v>
      </c>
      <c r="M7" s="14" t="s">
        <v>7</v>
      </c>
      <c r="N7" s="14" t="s">
        <v>11</v>
      </c>
      <c r="O7" s="14" t="s">
        <v>13</v>
      </c>
      <c r="P7" s="14" t="s">
        <v>8</v>
      </c>
      <c r="Q7" s="14" t="s">
        <v>12</v>
      </c>
    </row>
    <row r="8" spans="1:17" x14ac:dyDescent="0.35">
      <c r="B8" s="14" t="s">
        <v>22</v>
      </c>
      <c r="C8">
        <v>1059</v>
      </c>
      <c r="F8">
        <v>2960</v>
      </c>
      <c r="K8" s="14" t="s">
        <v>22</v>
      </c>
      <c r="L8">
        <v>0</v>
      </c>
      <c r="O8">
        <v>0</v>
      </c>
    </row>
    <row r="9" spans="1:17" x14ac:dyDescent="0.35">
      <c r="B9" s="14" t="s">
        <v>18</v>
      </c>
      <c r="C9">
        <v>2442</v>
      </c>
      <c r="D9">
        <v>52</v>
      </c>
      <c r="K9" s="14" t="s">
        <v>18</v>
      </c>
      <c r="L9">
        <v>0</v>
      </c>
      <c r="M9">
        <v>0</v>
      </c>
    </row>
    <row r="10" spans="1:17" x14ac:dyDescent="0.35">
      <c r="B10" s="14" t="s">
        <v>19</v>
      </c>
      <c r="D10">
        <v>1980</v>
      </c>
      <c r="G10">
        <v>0</v>
      </c>
      <c r="K10" s="14" t="s">
        <v>19</v>
      </c>
      <c r="M10">
        <v>0</v>
      </c>
      <c r="P10">
        <v>0</v>
      </c>
    </row>
    <row r="11" spans="1:17" x14ac:dyDescent="0.35">
      <c r="B11" s="14" t="s">
        <v>20</v>
      </c>
      <c r="D11">
        <v>969</v>
      </c>
      <c r="E11">
        <v>4000</v>
      </c>
      <c r="K11" s="14" t="s">
        <v>20</v>
      </c>
      <c r="M11">
        <v>36.99</v>
      </c>
      <c r="N11">
        <v>0</v>
      </c>
    </row>
    <row r="12" spans="1:17" x14ac:dyDescent="0.35">
      <c r="B12" s="14" t="s">
        <v>21</v>
      </c>
      <c r="F12">
        <v>1040</v>
      </c>
      <c r="G12">
        <v>2800</v>
      </c>
      <c r="K12" s="14" t="s">
        <v>21</v>
      </c>
      <c r="O12">
        <v>0</v>
      </c>
      <c r="P12">
        <v>0</v>
      </c>
    </row>
    <row r="16" spans="1:17" x14ac:dyDescent="0.35">
      <c r="A16" s="12" t="s">
        <v>56</v>
      </c>
    </row>
    <row r="22" spans="2:17" x14ac:dyDescent="0.35">
      <c r="C22" s="14" t="s">
        <v>6</v>
      </c>
      <c r="D22" s="14" t="s">
        <v>7</v>
      </c>
      <c r="E22" s="14" t="s">
        <v>11</v>
      </c>
      <c r="F22" s="14" t="s">
        <v>13</v>
      </c>
      <c r="G22" s="14" t="s">
        <v>8</v>
      </c>
      <c r="H22" s="14" t="s">
        <v>12</v>
      </c>
      <c r="L22" s="14" t="s">
        <v>6</v>
      </c>
      <c r="M22" s="14" t="s">
        <v>7</v>
      </c>
      <c r="N22" s="14" t="s">
        <v>11</v>
      </c>
      <c r="O22" s="14" t="s">
        <v>13</v>
      </c>
      <c r="P22" s="14" t="s">
        <v>8</v>
      </c>
      <c r="Q22" s="14" t="s">
        <v>12</v>
      </c>
    </row>
    <row r="23" spans="2:17" x14ac:dyDescent="0.35">
      <c r="B23" s="14" t="s">
        <v>22</v>
      </c>
      <c r="C23">
        <v>874</v>
      </c>
      <c r="F23">
        <v>3260</v>
      </c>
      <c r="K23" s="14" t="s">
        <v>22</v>
      </c>
      <c r="L23">
        <v>0</v>
      </c>
      <c r="O23">
        <v>0</v>
      </c>
    </row>
    <row r="24" spans="2:17" x14ac:dyDescent="0.35">
      <c r="B24" s="14" t="s">
        <v>18</v>
      </c>
      <c r="C24">
        <v>2127</v>
      </c>
      <c r="D24">
        <v>258</v>
      </c>
      <c r="K24" s="14" t="s">
        <v>18</v>
      </c>
      <c r="L24">
        <v>0</v>
      </c>
      <c r="M24">
        <v>0</v>
      </c>
    </row>
    <row r="25" spans="2:17" x14ac:dyDescent="0.35">
      <c r="B25" s="14" t="s">
        <v>19</v>
      </c>
      <c r="D25">
        <v>1980</v>
      </c>
      <c r="G25">
        <v>0</v>
      </c>
      <c r="K25" s="14" t="s">
        <v>19</v>
      </c>
      <c r="M25">
        <v>0</v>
      </c>
      <c r="P25">
        <v>0</v>
      </c>
    </row>
    <row r="26" spans="2:17" x14ac:dyDescent="0.35">
      <c r="B26" s="14" t="s">
        <v>20</v>
      </c>
      <c r="D26">
        <v>563</v>
      </c>
      <c r="E26">
        <v>4000</v>
      </c>
      <c r="K26" s="14" t="s">
        <v>20</v>
      </c>
      <c r="M26">
        <v>15.87</v>
      </c>
      <c r="N26">
        <v>0</v>
      </c>
    </row>
    <row r="27" spans="2:17" x14ac:dyDescent="0.35">
      <c r="B27" s="14" t="s">
        <v>21</v>
      </c>
      <c r="F27">
        <v>1040</v>
      </c>
      <c r="G27">
        <v>2800</v>
      </c>
      <c r="K27" s="14" t="s">
        <v>21</v>
      </c>
      <c r="O27">
        <v>0</v>
      </c>
      <c r="P27">
        <v>0</v>
      </c>
    </row>
    <row r="33" spans="1:17" x14ac:dyDescent="0.35">
      <c r="A33" s="12" t="s">
        <v>57</v>
      </c>
    </row>
    <row r="39" spans="1:17" x14ac:dyDescent="0.35">
      <c r="C39" s="14" t="s">
        <v>6</v>
      </c>
      <c r="D39" s="14" t="s">
        <v>7</v>
      </c>
      <c r="E39" s="14" t="s">
        <v>11</v>
      </c>
      <c r="F39" s="14" t="s">
        <v>13</v>
      </c>
      <c r="G39" s="14" t="s">
        <v>8</v>
      </c>
      <c r="H39" s="14" t="s">
        <v>12</v>
      </c>
      <c r="L39" s="14" t="s">
        <v>6</v>
      </c>
      <c r="M39" s="14" t="s">
        <v>7</v>
      </c>
      <c r="N39" s="14" t="s">
        <v>11</v>
      </c>
      <c r="O39" s="14" t="s">
        <v>13</v>
      </c>
      <c r="P39" s="14" t="s">
        <v>8</v>
      </c>
      <c r="Q39" s="14" t="s">
        <v>12</v>
      </c>
    </row>
    <row r="40" spans="1:17" x14ac:dyDescent="0.35">
      <c r="B40" s="14" t="s">
        <v>22</v>
      </c>
      <c r="C40">
        <v>727</v>
      </c>
      <c r="F40">
        <v>3500</v>
      </c>
      <c r="K40" s="14" t="s">
        <v>22</v>
      </c>
      <c r="L40">
        <v>0</v>
      </c>
      <c r="O40">
        <v>0</v>
      </c>
    </row>
    <row r="41" spans="1:17" x14ac:dyDescent="0.35">
      <c r="B41" s="14" t="s">
        <v>18</v>
      </c>
      <c r="C41">
        <v>2274</v>
      </c>
      <c r="D41">
        <v>162</v>
      </c>
      <c r="K41" s="14" t="s">
        <v>18</v>
      </c>
      <c r="L41">
        <v>0</v>
      </c>
      <c r="M41">
        <v>0</v>
      </c>
    </row>
    <row r="42" spans="1:17" x14ac:dyDescent="0.35">
      <c r="B42" s="14" t="s">
        <v>19</v>
      </c>
      <c r="D42">
        <v>1839</v>
      </c>
      <c r="G42">
        <v>0</v>
      </c>
      <c r="K42" s="14" t="s">
        <v>19</v>
      </c>
      <c r="M42">
        <v>0</v>
      </c>
      <c r="P42">
        <v>0</v>
      </c>
    </row>
    <row r="43" spans="1:17" x14ac:dyDescent="0.35">
      <c r="B43" s="14" t="s">
        <v>20</v>
      </c>
      <c r="D43">
        <v>0</v>
      </c>
      <c r="E43">
        <v>4000</v>
      </c>
      <c r="K43" s="14" t="s">
        <v>20</v>
      </c>
      <c r="M43">
        <v>0</v>
      </c>
      <c r="N43">
        <v>0</v>
      </c>
    </row>
    <row r="44" spans="1:17" x14ac:dyDescent="0.35">
      <c r="B44" s="14" t="s">
        <v>21</v>
      </c>
      <c r="F44">
        <v>0</v>
      </c>
      <c r="G44">
        <v>3000</v>
      </c>
      <c r="K44" s="14" t="s">
        <v>21</v>
      </c>
      <c r="O44">
        <v>0</v>
      </c>
      <c r="P44">
        <v>0</v>
      </c>
    </row>
    <row r="51" spans="1:17" x14ac:dyDescent="0.35">
      <c r="A51" s="12" t="s">
        <v>58</v>
      </c>
    </row>
    <row r="57" spans="1:17" x14ac:dyDescent="0.35">
      <c r="C57" s="14" t="s">
        <v>6</v>
      </c>
      <c r="D57" s="14" t="s">
        <v>7</v>
      </c>
      <c r="E57" s="14" t="s">
        <v>11</v>
      </c>
      <c r="F57" s="14" t="s">
        <v>13</v>
      </c>
      <c r="G57" s="14" t="s">
        <v>8</v>
      </c>
      <c r="H57" s="14" t="s">
        <v>12</v>
      </c>
      <c r="L57" s="14" t="s">
        <v>6</v>
      </c>
      <c r="M57" s="14" t="s">
        <v>7</v>
      </c>
      <c r="N57" s="14" t="s">
        <v>11</v>
      </c>
      <c r="O57" s="14" t="s">
        <v>13</v>
      </c>
      <c r="P57" s="14" t="s">
        <v>8</v>
      </c>
      <c r="Q57" s="14" t="s">
        <v>12</v>
      </c>
    </row>
    <row r="58" spans="1:17" x14ac:dyDescent="0.35">
      <c r="B58" s="14" t="s">
        <v>22</v>
      </c>
      <c r="C58">
        <v>1182</v>
      </c>
      <c r="F58">
        <v>2760</v>
      </c>
      <c r="K58" s="14" t="s">
        <v>22</v>
      </c>
      <c r="L58">
        <v>0</v>
      </c>
      <c r="O58">
        <v>0</v>
      </c>
    </row>
    <row r="59" spans="1:17" x14ac:dyDescent="0.35">
      <c r="B59" s="14" t="s">
        <v>18</v>
      </c>
      <c r="C59">
        <v>1819</v>
      </c>
      <c r="D59">
        <v>460</v>
      </c>
      <c r="K59" s="14" t="s">
        <v>18</v>
      </c>
      <c r="L59">
        <v>0</v>
      </c>
      <c r="M59">
        <v>0</v>
      </c>
    </row>
    <row r="60" spans="1:17" x14ac:dyDescent="0.35">
      <c r="B60" s="14" t="s">
        <v>19</v>
      </c>
      <c r="D60">
        <v>1980</v>
      </c>
      <c r="G60">
        <v>0</v>
      </c>
      <c r="K60" s="14" t="s">
        <v>19</v>
      </c>
      <c r="M60">
        <v>0</v>
      </c>
      <c r="P60">
        <v>0</v>
      </c>
    </row>
    <row r="61" spans="1:17" x14ac:dyDescent="0.35">
      <c r="B61" s="14" t="s">
        <v>20</v>
      </c>
      <c r="D61">
        <v>561</v>
      </c>
      <c r="E61">
        <v>4000</v>
      </c>
      <c r="K61" s="14" t="s">
        <v>20</v>
      </c>
      <c r="M61">
        <v>15.79</v>
      </c>
      <c r="N61">
        <v>0</v>
      </c>
    </row>
    <row r="62" spans="1:17" x14ac:dyDescent="0.35">
      <c r="B62" s="14" t="s">
        <v>21</v>
      </c>
      <c r="F62">
        <v>1040</v>
      </c>
      <c r="G62">
        <v>2800</v>
      </c>
      <c r="K62" s="14" t="s">
        <v>21</v>
      </c>
      <c r="O62">
        <v>0</v>
      </c>
      <c r="P62">
        <v>0</v>
      </c>
    </row>
    <row r="67" spans="1:17" x14ac:dyDescent="0.35">
      <c r="A67" s="12" t="s">
        <v>59</v>
      </c>
    </row>
    <row r="73" spans="1:17" x14ac:dyDescent="0.35">
      <c r="C73" s="14" t="s">
        <v>6</v>
      </c>
      <c r="D73" s="14" t="s">
        <v>7</v>
      </c>
      <c r="E73" s="14" t="s">
        <v>11</v>
      </c>
      <c r="F73" s="14" t="s">
        <v>13</v>
      </c>
      <c r="G73" s="14" t="s">
        <v>8</v>
      </c>
      <c r="H73" s="14" t="s">
        <v>12</v>
      </c>
      <c r="L73" s="14" t="s">
        <v>6</v>
      </c>
      <c r="M73" s="14" t="s">
        <v>7</v>
      </c>
      <c r="N73" s="14" t="s">
        <v>11</v>
      </c>
      <c r="O73" s="14" t="s">
        <v>13</v>
      </c>
      <c r="P73" s="14" t="s">
        <v>8</v>
      </c>
      <c r="Q73" s="14" t="s">
        <v>12</v>
      </c>
    </row>
    <row r="74" spans="1:17" x14ac:dyDescent="0.35">
      <c r="B74" s="14" t="s">
        <v>22</v>
      </c>
      <c r="C74">
        <v>1059</v>
      </c>
      <c r="F74">
        <v>2960</v>
      </c>
      <c r="K74" s="14" t="s">
        <v>22</v>
      </c>
      <c r="L74">
        <v>0</v>
      </c>
      <c r="O74">
        <v>0</v>
      </c>
    </row>
    <row r="75" spans="1:17" x14ac:dyDescent="0.35">
      <c r="B75" s="14" t="s">
        <v>18</v>
      </c>
      <c r="C75">
        <v>1942</v>
      </c>
      <c r="D75">
        <v>372</v>
      </c>
      <c r="K75" s="14" t="s">
        <v>18</v>
      </c>
      <c r="L75">
        <v>0</v>
      </c>
      <c r="M75">
        <v>0</v>
      </c>
    </row>
    <row r="76" spans="1:17" x14ac:dyDescent="0.35">
      <c r="B76" s="14" t="s">
        <v>19</v>
      </c>
      <c r="D76">
        <v>1980</v>
      </c>
      <c r="G76">
        <v>0</v>
      </c>
      <c r="K76" s="14" t="s">
        <v>19</v>
      </c>
      <c r="M76">
        <v>23.6</v>
      </c>
      <c r="P76">
        <v>0</v>
      </c>
    </row>
    <row r="77" spans="1:17" x14ac:dyDescent="0.35">
      <c r="B77" s="14" t="s">
        <v>20</v>
      </c>
      <c r="D77">
        <v>642</v>
      </c>
      <c r="E77">
        <v>4000</v>
      </c>
      <c r="K77" s="14" t="s">
        <v>20</v>
      </c>
      <c r="M77">
        <v>19.98</v>
      </c>
      <c r="N77">
        <v>0</v>
      </c>
    </row>
    <row r="78" spans="1:17" x14ac:dyDescent="0.35">
      <c r="B78" s="14" t="s">
        <v>21</v>
      </c>
      <c r="F78">
        <v>1040</v>
      </c>
      <c r="G78">
        <v>2800</v>
      </c>
      <c r="K78" s="14" t="s">
        <v>21</v>
      </c>
      <c r="O78">
        <v>0</v>
      </c>
      <c r="P78">
        <v>0</v>
      </c>
    </row>
    <row r="83" spans="1:17" x14ac:dyDescent="0.35">
      <c r="A83" s="12" t="s">
        <v>60</v>
      </c>
    </row>
    <row r="89" spans="1:17" x14ac:dyDescent="0.35">
      <c r="C89" s="14" t="s">
        <v>6</v>
      </c>
      <c r="D89" s="14" t="s">
        <v>7</v>
      </c>
      <c r="E89" s="14" t="s">
        <v>11</v>
      </c>
      <c r="F89" s="14" t="s">
        <v>13</v>
      </c>
      <c r="G89" s="14" t="s">
        <v>8</v>
      </c>
      <c r="H89" s="14" t="s">
        <v>12</v>
      </c>
      <c r="L89" s="14" t="s">
        <v>6</v>
      </c>
      <c r="M89" s="14" t="s">
        <v>7</v>
      </c>
      <c r="N89" s="14" t="s">
        <v>11</v>
      </c>
      <c r="O89" s="14" t="s">
        <v>13</v>
      </c>
      <c r="P89" s="14" t="s">
        <v>8</v>
      </c>
      <c r="Q89" s="14" t="s">
        <v>12</v>
      </c>
    </row>
    <row r="90" spans="1:17" x14ac:dyDescent="0.35">
      <c r="B90" s="14" t="s">
        <v>22</v>
      </c>
      <c r="C90">
        <v>1383</v>
      </c>
      <c r="F90">
        <v>2434</v>
      </c>
      <c r="K90" s="14" t="s">
        <v>22</v>
      </c>
      <c r="L90">
        <v>0</v>
      </c>
      <c r="O90">
        <v>0</v>
      </c>
    </row>
    <row r="91" spans="1:17" x14ac:dyDescent="0.35">
      <c r="B91" s="14" t="s">
        <v>18</v>
      </c>
      <c r="C91">
        <v>2918</v>
      </c>
      <c r="D91">
        <v>264</v>
      </c>
      <c r="K91" s="14" t="s">
        <v>18</v>
      </c>
      <c r="L91">
        <v>0</v>
      </c>
      <c r="M91">
        <v>0</v>
      </c>
    </row>
    <row r="92" spans="1:17" x14ac:dyDescent="0.35">
      <c r="B92" s="14" t="s">
        <v>19</v>
      </c>
      <c r="D92">
        <v>1980</v>
      </c>
      <c r="G92">
        <v>0</v>
      </c>
      <c r="K92" s="14" t="s">
        <v>19</v>
      </c>
      <c r="M92">
        <v>0</v>
      </c>
      <c r="P92">
        <v>0</v>
      </c>
    </row>
    <row r="93" spans="1:17" x14ac:dyDescent="0.35">
      <c r="B93" s="14" t="s">
        <v>20</v>
      </c>
      <c r="D93">
        <v>257</v>
      </c>
      <c r="E93">
        <v>4000</v>
      </c>
      <c r="K93" s="14" t="s">
        <v>20</v>
      </c>
      <c r="M93">
        <v>0</v>
      </c>
      <c r="N93">
        <v>0</v>
      </c>
    </row>
    <row r="94" spans="1:17" x14ac:dyDescent="0.35">
      <c r="B94" s="14" t="s">
        <v>21</v>
      </c>
      <c r="F94">
        <v>1367</v>
      </c>
      <c r="G94">
        <v>2500</v>
      </c>
      <c r="K94" s="14" t="s">
        <v>21</v>
      </c>
      <c r="O94">
        <v>0</v>
      </c>
      <c r="P94">
        <v>0</v>
      </c>
    </row>
    <row r="100" spans="1:17" x14ac:dyDescent="0.35">
      <c r="A100" s="12" t="s">
        <v>61</v>
      </c>
    </row>
    <row r="106" spans="1:17" x14ac:dyDescent="0.35">
      <c r="C106" s="14" t="s">
        <v>6</v>
      </c>
      <c r="D106" s="14" t="s">
        <v>7</v>
      </c>
      <c r="E106" s="14" t="s">
        <v>11</v>
      </c>
      <c r="F106" s="14" t="s">
        <v>13</v>
      </c>
      <c r="G106" s="14" t="s">
        <v>8</v>
      </c>
      <c r="H106" s="14" t="s">
        <v>12</v>
      </c>
      <c r="L106" s="14" t="s">
        <v>6</v>
      </c>
      <c r="M106" s="14" t="s">
        <v>7</v>
      </c>
      <c r="N106" s="14" t="s">
        <v>11</v>
      </c>
      <c r="O106" s="14" t="s">
        <v>13</v>
      </c>
      <c r="P106" s="14" t="s">
        <v>8</v>
      </c>
      <c r="Q106" s="14" t="s">
        <v>12</v>
      </c>
    </row>
    <row r="107" spans="1:17" x14ac:dyDescent="0.35">
      <c r="B107" s="14" t="s">
        <v>22</v>
      </c>
      <c r="C107">
        <v>1226</v>
      </c>
      <c r="F107">
        <v>2689</v>
      </c>
      <c r="K107" s="14" t="s">
        <v>22</v>
      </c>
      <c r="L107">
        <v>0</v>
      </c>
      <c r="O107">
        <v>0</v>
      </c>
    </row>
    <row r="108" spans="1:17" x14ac:dyDescent="0.35">
      <c r="B108" s="14" t="s">
        <v>18</v>
      </c>
      <c r="C108">
        <v>2275</v>
      </c>
      <c r="D108">
        <v>161</v>
      </c>
      <c r="K108" s="14" t="s">
        <v>18</v>
      </c>
      <c r="L108">
        <v>0</v>
      </c>
      <c r="M108">
        <v>0</v>
      </c>
    </row>
    <row r="109" spans="1:17" x14ac:dyDescent="0.35">
      <c r="B109" s="14" t="s">
        <v>19</v>
      </c>
      <c r="D109">
        <v>1980</v>
      </c>
      <c r="G109">
        <v>0</v>
      </c>
      <c r="K109" s="14" t="s">
        <v>19</v>
      </c>
      <c r="M109">
        <v>0</v>
      </c>
      <c r="P109">
        <v>0</v>
      </c>
    </row>
    <row r="110" spans="1:17" x14ac:dyDescent="0.35">
      <c r="B110" s="14" t="s">
        <v>20</v>
      </c>
      <c r="D110">
        <v>360</v>
      </c>
      <c r="E110">
        <v>3800</v>
      </c>
      <c r="K110" s="14" t="s">
        <v>20</v>
      </c>
      <c r="M110">
        <v>0</v>
      </c>
      <c r="N110">
        <v>0</v>
      </c>
    </row>
    <row r="111" spans="1:17" x14ac:dyDescent="0.35">
      <c r="B111" s="14" t="s">
        <v>21</v>
      </c>
      <c r="F111">
        <v>1312</v>
      </c>
      <c r="G111">
        <v>2500</v>
      </c>
      <c r="K111" s="14" t="s">
        <v>21</v>
      </c>
      <c r="O111">
        <v>0</v>
      </c>
      <c r="P111">
        <v>0</v>
      </c>
    </row>
    <row r="116" spans="1:17" x14ac:dyDescent="0.35">
      <c r="A116" s="12" t="s">
        <v>62</v>
      </c>
    </row>
    <row r="122" spans="1:17" x14ac:dyDescent="0.35">
      <c r="C122" s="14" t="s">
        <v>6</v>
      </c>
      <c r="D122" s="14" t="s">
        <v>7</v>
      </c>
      <c r="E122" s="14" t="s">
        <v>11</v>
      </c>
      <c r="F122" s="14" t="s">
        <v>13</v>
      </c>
      <c r="G122" s="14" t="s">
        <v>8</v>
      </c>
      <c r="H122" s="14" t="s">
        <v>12</v>
      </c>
      <c r="L122" s="14" t="s">
        <v>6</v>
      </c>
      <c r="M122" s="14" t="s">
        <v>7</v>
      </c>
      <c r="N122" s="14" t="s">
        <v>11</v>
      </c>
      <c r="O122" s="14" t="s">
        <v>13</v>
      </c>
      <c r="P122" s="14" t="s">
        <v>8</v>
      </c>
      <c r="Q122" s="14" t="s">
        <v>12</v>
      </c>
    </row>
    <row r="123" spans="1:17" x14ac:dyDescent="0.35">
      <c r="B123" s="14" t="s">
        <v>22</v>
      </c>
      <c r="C123">
        <v>1176</v>
      </c>
      <c r="F123">
        <v>2770</v>
      </c>
      <c r="K123" s="14" t="s">
        <v>22</v>
      </c>
      <c r="L123">
        <v>0</v>
      </c>
      <c r="O123">
        <v>0</v>
      </c>
    </row>
    <row r="124" spans="1:17" x14ac:dyDescent="0.35">
      <c r="B124" s="14" t="s">
        <v>18</v>
      </c>
      <c r="C124">
        <v>2124</v>
      </c>
      <c r="D124">
        <v>259</v>
      </c>
      <c r="K124" s="14" t="s">
        <v>18</v>
      </c>
      <c r="L124">
        <v>0</v>
      </c>
      <c r="M124">
        <v>0</v>
      </c>
    </row>
    <row r="125" spans="1:17" x14ac:dyDescent="0.35">
      <c r="B125" s="14" t="s">
        <v>19</v>
      </c>
      <c r="D125">
        <v>1980</v>
      </c>
      <c r="G125">
        <v>0</v>
      </c>
      <c r="K125" s="14" t="s">
        <v>19</v>
      </c>
      <c r="M125">
        <v>0</v>
      </c>
      <c r="P125">
        <v>0</v>
      </c>
    </row>
    <row r="126" spans="1:17" x14ac:dyDescent="0.35">
      <c r="B126" s="14" t="s">
        <v>20</v>
      </c>
      <c r="D126">
        <v>1162</v>
      </c>
      <c r="E126">
        <v>3700</v>
      </c>
      <c r="K126" s="14" t="s">
        <v>20</v>
      </c>
      <c r="M126">
        <v>38.979999999999997</v>
      </c>
      <c r="N126">
        <v>0</v>
      </c>
    </row>
    <row r="127" spans="1:17" x14ac:dyDescent="0.35">
      <c r="B127" s="14" t="s">
        <v>21</v>
      </c>
      <c r="F127">
        <v>1430</v>
      </c>
      <c r="G127">
        <v>2500</v>
      </c>
      <c r="K127" s="14" t="s">
        <v>21</v>
      </c>
      <c r="O127">
        <v>0</v>
      </c>
      <c r="P127">
        <v>0</v>
      </c>
    </row>
    <row r="132" spans="1:17" x14ac:dyDescent="0.35">
      <c r="A132" s="12" t="s">
        <v>63</v>
      </c>
    </row>
    <row r="138" spans="1:17" x14ac:dyDescent="0.35">
      <c r="C138" s="14" t="s">
        <v>6</v>
      </c>
      <c r="D138" s="14" t="s">
        <v>7</v>
      </c>
      <c r="E138" s="14" t="s">
        <v>11</v>
      </c>
      <c r="F138" s="14" t="s">
        <v>13</v>
      </c>
      <c r="G138" s="14" t="s">
        <v>8</v>
      </c>
      <c r="H138" s="14" t="s">
        <v>12</v>
      </c>
      <c r="L138" s="14" t="s">
        <v>6</v>
      </c>
      <c r="M138" s="14" t="s">
        <v>7</v>
      </c>
      <c r="N138" s="14" t="s">
        <v>11</v>
      </c>
      <c r="O138" s="14" t="s">
        <v>13</v>
      </c>
      <c r="P138" s="14" t="s">
        <v>8</v>
      </c>
      <c r="Q138" s="14" t="s">
        <v>12</v>
      </c>
    </row>
    <row r="139" spans="1:17" x14ac:dyDescent="0.35">
      <c r="B139" s="14" t="s">
        <v>22</v>
      </c>
      <c r="C139">
        <v>780</v>
      </c>
      <c r="F139">
        <v>3413</v>
      </c>
      <c r="K139" s="14" t="s">
        <v>22</v>
      </c>
      <c r="L139">
        <v>0</v>
      </c>
      <c r="O139">
        <v>0</v>
      </c>
    </row>
    <row r="140" spans="1:17" x14ac:dyDescent="0.35">
      <c r="B140" s="14" t="s">
        <v>18</v>
      </c>
      <c r="C140">
        <v>2520</v>
      </c>
      <c r="D140">
        <v>0</v>
      </c>
      <c r="K140" s="14" t="s">
        <v>18</v>
      </c>
      <c r="L140">
        <v>0</v>
      </c>
      <c r="M140">
        <v>0</v>
      </c>
    </row>
    <row r="141" spans="1:17" x14ac:dyDescent="0.35">
      <c r="B141" s="14" t="s">
        <v>19</v>
      </c>
      <c r="D141">
        <v>1836</v>
      </c>
      <c r="G141">
        <v>237</v>
      </c>
      <c r="K141" s="14" t="s">
        <v>19</v>
      </c>
      <c r="M141">
        <v>0</v>
      </c>
      <c r="P141">
        <v>0</v>
      </c>
    </row>
    <row r="142" spans="1:17" x14ac:dyDescent="0.35">
      <c r="B142" s="14" t="s">
        <v>20</v>
      </c>
      <c r="D142">
        <v>1565</v>
      </c>
      <c r="E142">
        <v>0</v>
      </c>
      <c r="K142" s="14" t="s">
        <v>20</v>
      </c>
      <c r="M142">
        <v>0</v>
      </c>
      <c r="N142">
        <v>0</v>
      </c>
    </row>
    <row r="143" spans="1:17" x14ac:dyDescent="0.35">
      <c r="B143" s="14" t="s">
        <v>21</v>
      </c>
      <c r="F143">
        <v>1088</v>
      </c>
      <c r="G143">
        <v>2764</v>
      </c>
      <c r="K143" s="14" t="s">
        <v>21</v>
      </c>
      <c r="O143">
        <v>0</v>
      </c>
      <c r="P143">
        <v>0</v>
      </c>
    </row>
    <row r="149" spans="1:17" x14ac:dyDescent="0.35">
      <c r="A149" s="12" t="s">
        <v>64</v>
      </c>
    </row>
    <row r="155" spans="1:17" x14ac:dyDescent="0.35">
      <c r="C155" s="14" t="s">
        <v>6</v>
      </c>
      <c r="D155" s="14" t="s">
        <v>7</v>
      </c>
      <c r="E155" s="14" t="s">
        <v>11</v>
      </c>
      <c r="F155" s="14" t="s">
        <v>13</v>
      </c>
      <c r="G155" s="14" t="s">
        <v>8</v>
      </c>
      <c r="H155" s="14" t="s">
        <v>12</v>
      </c>
      <c r="L155" s="14" t="s">
        <v>6</v>
      </c>
      <c r="M155" s="14" t="s">
        <v>7</v>
      </c>
      <c r="N155" s="14" t="s">
        <v>11</v>
      </c>
      <c r="O155" s="14" t="s">
        <v>13</v>
      </c>
      <c r="P155" s="14" t="s">
        <v>8</v>
      </c>
      <c r="Q155" s="14" t="s">
        <v>12</v>
      </c>
    </row>
    <row r="156" spans="1:17" x14ac:dyDescent="0.35">
      <c r="B156" s="14" t="s">
        <v>22</v>
      </c>
      <c r="C156">
        <v>680</v>
      </c>
      <c r="F156">
        <v>3575</v>
      </c>
      <c r="K156" s="14" t="s">
        <v>22</v>
      </c>
      <c r="L156">
        <v>0</v>
      </c>
      <c r="O156">
        <v>0</v>
      </c>
    </row>
    <row r="157" spans="1:17" x14ac:dyDescent="0.35">
      <c r="B157" s="14" t="s">
        <v>18</v>
      </c>
      <c r="C157">
        <v>2520</v>
      </c>
      <c r="D157">
        <v>0</v>
      </c>
      <c r="K157" s="14" t="s">
        <v>18</v>
      </c>
      <c r="L157">
        <v>0</v>
      </c>
      <c r="M157">
        <v>0</v>
      </c>
    </row>
    <row r="158" spans="1:17" x14ac:dyDescent="0.35">
      <c r="B158" s="14" t="s">
        <v>19</v>
      </c>
      <c r="D158">
        <v>1912</v>
      </c>
      <c r="G158">
        <v>112</v>
      </c>
      <c r="K158" s="14" t="s">
        <v>19</v>
      </c>
      <c r="M158">
        <v>0</v>
      </c>
      <c r="P158">
        <v>0</v>
      </c>
    </row>
    <row r="159" spans="1:17" x14ac:dyDescent="0.35">
      <c r="B159" s="14" t="s">
        <v>20</v>
      </c>
      <c r="D159">
        <v>1089</v>
      </c>
      <c r="E159">
        <v>0</v>
      </c>
      <c r="K159" s="14" t="s">
        <v>20</v>
      </c>
      <c r="M159">
        <v>0</v>
      </c>
      <c r="N159">
        <v>0</v>
      </c>
    </row>
    <row r="160" spans="1:17" x14ac:dyDescent="0.35">
      <c r="B160" s="14" t="s">
        <v>21</v>
      </c>
      <c r="F160">
        <v>925</v>
      </c>
      <c r="G160">
        <v>2829</v>
      </c>
      <c r="K160" s="14" t="s">
        <v>21</v>
      </c>
      <c r="O160">
        <v>0</v>
      </c>
      <c r="P160">
        <v>0</v>
      </c>
    </row>
    <row r="164" spans="1:17" x14ac:dyDescent="0.35">
      <c r="A164" s="12" t="s">
        <v>38</v>
      </c>
    </row>
    <row r="170" spans="1:17" x14ac:dyDescent="0.35">
      <c r="C170" s="14" t="s">
        <v>6</v>
      </c>
      <c r="D170" s="14" t="s">
        <v>7</v>
      </c>
      <c r="E170" s="14" t="s">
        <v>11</v>
      </c>
      <c r="F170" s="14" t="s">
        <v>13</v>
      </c>
      <c r="G170" s="14" t="s">
        <v>8</v>
      </c>
      <c r="H170" s="14" t="s">
        <v>12</v>
      </c>
      <c r="L170" s="14" t="s">
        <v>6</v>
      </c>
      <c r="M170" s="14" t="s">
        <v>7</v>
      </c>
      <c r="N170" s="14" t="s">
        <v>11</v>
      </c>
      <c r="O170" s="14" t="s">
        <v>13</v>
      </c>
      <c r="P170" s="14" t="s">
        <v>8</v>
      </c>
      <c r="Q170" s="14" t="s">
        <v>12</v>
      </c>
    </row>
    <row r="171" spans="1:17" x14ac:dyDescent="0.35">
      <c r="B171" s="14" t="s">
        <v>22</v>
      </c>
      <c r="C171">
        <v>1948</v>
      </c>
      <c r="F171">
        <v>3388</v>
      </c>
      <c r="K171" s="14" t="s">
        <v>22</v>
      </c>
      <c r="L171">
        <v>0</v>
      </c>
      <c r="O171">
        <v>48</v>
      </c>
    </row>
    <row r="172" spans="1:17" x14ac:dyDescent="0.35">
      <c r="B172" s="14" t="s">
        <v>18</v>
      </c>
      <c r="C172">
        <v>2553</v>
      </c>
      <c r="D172">
        <v>561</v>
      </c>
      <c r="K172" s="14" t="s">
        <v>18</v>
      </c>
      <c r="L172">
        <v>42.34</v>
      </c>
      <c r="M172">
        <v>0</v>
      </c>
    </row>
    <row r="173" spans="1:17" x14ac:dyDescent="0.35">
      <c r="B173" s="14" t="s">
        <v>19</v>
      </c>
      <c r="D173">
        <v>2772</v>
      </c>
      <c r="G173">
        <v>0</v>
      </c>
      <c r="K173" s="14" t="s">
        <v>19</v>
      </c>
      <c r="M173">
        <v>48</v>
      </c>
      <c r="P173">
        <v>0</v>
      </c>
    </row>
    <row r="174" spans="1:17" x14ac:dyDescent="0.35">
      <c r="B174" s="14" t="s">
        <v>20</v>
      </c>
      <c r="D174">
        <v>668</v>
      </c>
      <c r="E174">
        <v>5000</v>
      </c>
      <c r="K174" s="14" t="s">
        <v>20</v>
      </c>
      <c r="M174">
        <v>48</v>
      </c>
      <c r="N174">
        <v>0</v>
      </c>
    </row>
    <row r="175" spans="1:17" x14ac:dyDescent="0.35">
      <c r="B175" s="14" t="s">
        <v>21</v>
      </c>
      <c r="F175">
        <v>1612</v>
      </c>
      <c r="G175">
        <v>3800</v>
      </c>
      <c r="K175" s="14" t="s">
        <v>21</v>
      </c>
      <c r="O175">
        <v>0</v>
      </c>
      <c r="P175">
        <v>48</v>
      </c>
    </row>
    <row r="181" spans="1:17" x14ac:dyDescent="0.35">
      <c r="A181" s="12" t="s">
        <v>65</v>
      </c>
    </row>
    <row r="187" spans="1:17" x14ac:dyDescent="0.35">
      <c r="C187" s="14" t="s">
        <v>6</v>
      </c>
      <c r="D187" s="14" t="s">
        <v>7</v>
      </c>
      <c r="E187" s="14" t="s">
        <v>11</v>
      </c>
      <c r="F187" s="14" t="s">
        <v>13</v>
      </c>
      <c r="G187" s="14" t="s">
        <v>8</v>
      </c>
      <c r="H187" s="14" t="s">
        <v>12</v>
      </c>
      <c r="L187" s="14" t="s">
        <v>6</v>
      </c>
      <c r="M187" s="14" t="s">
        <v>7</v>
      </c>
      <c r="N187" s="14" t="s">
        <v>11</v>
      </c>
      <c r="O187" s="14" t="s">
        <v>13</v>
      </c>
      <c r="P187" s="14" t="s">
        <v>8</v>
      </c>
      <c r="Q187" s="14" t="s">
        <v>12</v>
      </c>
    </row>
    <row r="188" spans="1:17" x14ac:dyDescent="0.35">
      <c r="B188" s="14" t="s">
        <v>22</v>
      </c>
      <c r="C188">
        <v>874</v>
      </c>
      <c r="F188">
        <v>3260</v>
      </c>
      <c r="K188" s="14" t="s">
        <v>22</v>
      </c>
      <c r="L188">
        <v>0</v>
      </c>
      <c r="O188">
        <v>0</v>
      </c>
    </row>
    <row r="189" spans="1:17" x14ac:dyDescent="0.35">
      <c r="B189" s="14" t="s">
        <v>18</v>
      </c>
      <c r="C189">
        <v>2127</v>
      </c>
      <c r="D189">
        <v>258</v>
      </c>
      <c r="K189" s="14" t="s">
        <v>18</v>
      </c>
      <c r="L189">
        <v>0</v>
      </c>
      <c r="M189">
        <v>0</v>
      </c>
    </row>
    <row r="190" spans="1:17" x14ac:dyDescent="0.35">
      <c r="B190" s="14" t="s">
        <v>19</v>
      </c>
      <c r="D190">
        <v>1980</v>
      </c>
      <c r="G190">
        <v>0</v>
      </c>
      <c r="K190" s="14" t="s">
        <v>19</v>
      </c>
      <c r="M190">
        <v>0</v>
      </c>
      <c r="P190">
        <v>0</v>
      </c>
    </row>
    <row r="191" spans="1:17" x14ac:dyDescent="0.35">
      <c r="B191" s="14" t="s">
        <v>20</v>
      </c>
      <c r="D191">
        <v>563</v>
      </c>
      <c r="E191">
        <v>4000</v>
      </c>
      <c r="K191" s="14" t="s">
        <v>20</v>
      </c>
      <c r="M191">
        <v>15.86</v>
      </c>
      <c r="N191">
        <v>0</v>
      </c>
    </row>
    <row r="192" spans="1:17" x14ac:dyDescent="0.35">
      <c r="B192" s="14" t="s">
        <v>21</v>
      </c>
      <c r="F192">
        <v>1040</v>
      </c>
      <c r="G192">
        <v>2800</v>
      </c>
      <c r="K192" s="14" t="s">
        <v>21</v>
      </c>
      <c r="O192">
        <v>0</v>
      </c>
      <c r="P192">
        <v>0</v>
      </c>
    </row>
    <row r="197" spans="1:17" x14ac:dyDescent="0.35">
      <c r="A197" s="12"/>
    </row>
    <row r="203" spans="1:17" x14ac:dyDescent="0.35">
      <c r="C203" s="14"/>
      <c r="D203" s="14"/>
      <c r="E203" s="14"/>
      <c r="F203" s="14"/>
      <c r="G203" s="14"/>
      <c r="H203" s="14"/>
      <c r="L203" s="14"/>
      <c r="M203" s="14"/>
      <c r="N203" s="14"/>
      <c r="O203" s="14"/>
      <c r="P203" s="14"/>
      <c r="Q203" s="14"/>
    </row>
    <row r="204" spans="1:17" x14ac:dyDescent="0.35">
      <c r="B204" s="14"/>
      <c r="K204" s="14"/>
    </row>
    <row r="205" spans="1:17" x14ac:dyDescent="0.35">
      <c r="B205" s="14"/>
      <c r="K205" s="14"/>
    </row>
    <row r="206" spans="1:17" x14ac:dyDescent="0.35">
      <c r="B206" s="14"/>
      <c r="K206" s="14"/>
    </row>
    <row r="207" spans="1:17" x14ac:dyDescent="0.35">
      <c r="B207" s="14"/>
      <c r="K207" s="14"/>
    </row>
    <row r="208" spans="1:17" x14ac:dyDescent="0.35">
      <c r="B208" s="14"/>
      <c r="K208" s="14"/>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Question 1</vt:lpstr>
      <vt:lpstr>Question 2</vt:lpstr>
      <vt:lpstr>Question 4</vt:lpstr>
      <vt:lpstr>Question 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Akash Sudeep</cp:lastModifiedBy>
  <dcterms:modified xsi:type="dcterms:W3CDTF">2023-12-13T00:33:15Z</dcterms:modified>
</cp:coreProperties>
</file>